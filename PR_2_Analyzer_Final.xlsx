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hrey patel\Downloads\"/>
    </mc:Choice>
  </mc:AlternateContent>
  <xr:revisionPtr revIDLastSave="0" documentId="8_{A26F9BC7-3D51-46FC-8723-C9A6D341C051}" xr6:coauthVersionLast="47" xr6:coauthVersionMax="47" xr10:uidLastSave="{00000000-0000-0000-0000-000000000000}"/>
  <bookViews>
    <workbookView xWindow="-108" yWindow="-108" windowWidth="23256" windowHeight="13896" activeTab="1" xr2:uid="{00000000-000D-0000-FFFF-FFFF00000000}"/>
  </bookViews>
  <sheets>
    <sheet name="Project Instructions" sheetId="1" r:id="rId1"/>
    <sheet name="Dataset" sheetId="2" r:id="rId2"/>
    <sheet name="Conditional Statement" sheetId="17" r:id="rId3"/>
    <sheet name="What If Analysis" sheetId="4" r:id="rId4"/>
    <sheet name="Scenario Summary" sheetId="20" r:id="rId5"/>
    <sheet name="Linear Regression" sheetId="5" r:id="rId6"/>
    <sheet name="Descriptive Statistics" sheetId="21" r:id="rId7"/>
    <sheet name="Monthly Sales Growth" sheetId="22" r:id="rId8"/>
    <sheet name="Timestamp Analysis" sheetId="10" r:id="rId9"/>
    <sheet name="High-Value Customer" sheetId="12" r:id="rId10"/>
    <sheet name="Pivot Table" sheetId="25" r:id="rId11"/>
    <sheet name="Charts" sheetId="26" r:id="rId12"/>
    <sheet name="Dashboard" sheetId="27" r:id="rId13"/>
  </sheets>
  <definedNames>
    <definedName name="_xlnm._FilterDatabase" localSheetId="9" hidden="1">'High-Value Customer'!$A$1:$D$31</definedName>
  </definedNames>
  <calcPr calcId="191029"/>
  <pivotCaches>
    <pivotCache cacheId="18"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6" l="1"/>
  <c r="J5" i="27"/>
  <c r="D5" i="27"/>
  <c r="G5" i="27" s="1"/>
  <c r="A5" i="27"/>
  <c r="B35" i="26"/>
  <c r="B36" i="26"/>
  <c r="B37" i="26"/>
  <c r="B38" i="26"/>
  <c r="B34" i="26"/>
  <c r="A19" i="26"/>
  <c r="A18" i="26"/>
  <c r="B18" i="26" s="1"/>
  <c r="B5" i="26"/>
  <c r="B6" i="26"/>
  <c r="B7" i="26"/>
  <c r="B8" i="26"/>
  <c r="B4" i="26"/>
  <c r="G4" i="12"/>
  <c r="A3" i="12"/>
  <c r="A22" i="12"/>
  <c r="A31" i="12"/>
  <c r="A6" i="12"/>
  <c r="A7" i="12"/>
  <c r="A8" i="12"/>
  <c r="A9" i="12"/>
  <c r="A10" i="12"/>
  <c r="A11" i="12"/>
  <c r="A12" i="12"/>
  <c r="A27" i="12"/>
  <c r="A14" i="12"/>
  <c r="A15" i="12"/>
  <c r="A4" i="12"/>
  <c r="A17" i="12"/>
  <c r="A18" i="12"/>
  <c r="A19" i="12"/>
  <c r="A20" i="12"/>
  <c r="A21" i="12"/>
  <c r="A16" i="12"/>
  <c r="A23" i="12"/>
  <c r="A24" i="12"/>
  <c r="B24" i="12" s="1"/>
  <c r="A25" i="12"/>
  <c r="B25" i="12" s="1"/>
  <c r="A26" i="12"/>
  <c r="B26" i="12" s="1"/>
  <c r="A13" i="12"/>
  <c r="B13" i="12" s="1"/>
  <c r="A28" i="12"/>
  <c r="B28" i="12" s="1"/>
  <c r="A5" i="12"/>
  <c r="B5" i="12" s="1"/>
  <c r="A30" i="12"/>
  <c r="B30" i="12" s="1"/>
  <c r="A29" i="12"/>
  <c r="B29" i="12" s="1"/>
  <c r="A2" i="12"/>
  <c r="B2" i="12" s="1"/>
  <c r="B3" i="12"/>
  <c r="B22" i="12"/>
  <c r="B31" i="12"/>
  <c r="B6" i="12"/>
  <c r="B7" i="12"/>
  <c r="B8" i="12"/>
  <c r="B9" i="12"/>
  <c r="B10" i="12"/>
  <c r="B11" i="12"/>
  <c r="B12" i="12"/>
  <c r="B27" i="12"/>
  <c r="B14" i="12"/>
  <c r="B15" i="12"/>
  <c r="B4" i="12"/>
  <c r="B17" i="12"/>
  <c r="B18" i="12"/>
  <c r="B19" i="12"/>
  <c r="B20" i="12"/>
  <c r="B21" i="12"/>
  <c r="B16" i="12"/>
  <c r="B23" i="12"/>
  <c r="B3" i="10"/>
  <c r="D4" i="22"/>
  <c r="D5" i="22"/>
  <c r="D6" i="22"/>
  <c r="D7" i="22"/>
  <c r="D8" i="22"/>
  <c r="D9" i="22"/>
  <c r="D10" i="22"/>
  <c r="D11" i="22"/>
  <c r="D12" i="22"/>
  <c r="D13" i="22"/>
  <c r="D14" i="22"/>
  <c r="D3" i="22"/>
  <c r="C4" i="22"/>
  <c r="C5" i="22"/>
  <c r="C6" i="22"/>
  <c r="C7" i="22"/>
  <c r="C8" i="22"/>
  <c r="C9" i="22"/>
  <c r="C10" i="22"/>
  <c r="C11" i="22"/>
  <c r="C12" i="22"/>
  <c r="C13" i="22"/>
  <c r="C14" i="22"/>
  <c r="C3" i="22"/>
  <c r="B3" i="22"/>
  <c r="B4" i="22"/>
  <c r="B5" i="22"/>
  <c r="B6" i="22"/>
  <c r="B7" i="22"/>
  <c r="B8" i="22"/>
  <c r="B9" i="22"/>
  <c r="B10" i="22"/>
  <c r="B11" i="22"/>
  <c r="B12" i="22"/>
  <c r="B13" i="22"/>
  <c r="B14" i="22"/>
  <c r="B2" i="22"/>
  <c r="A4" i="22"/>
  <c r="A5" i="22"/>
  <c r="A6" i="22"/>
  <c r="A7" i="22"/>
  <c r="A8" i="22"/>
  <c r="A9" i="22"/>
  <c r="A10" i="22"/>
  <c r="A11" i="22"/>
  <c r="A12" i="22"/>
  <c r="A13" i="22"/>
  <c r="A14" i="22"/>
  <c r="A3" i="22"/>
  <c r="A2" i="22"/>
  <c r="B5" i="4"/>
  <c r="B4" i="4"/>
  <c r="B7" i="4" s="1"/>
  <c r="B3" i="4"/>
  <c r="A20" i="26" l="1"/>
  <c r="B19" i="26"/>
  <c r="C29" i="12"/>
  <c r="D29" i="12" s="1"/>
  <c r="G2" i="12"/>
  <c r="G3" i="12" s="1"/>
  <c r="C22" i="12"/>
  <c r="D22" i="12" s="1"/>
  <c r="C7" i="12"/>
  <c r="D7" i="12" s="1"/>
  <c r="C9" i="12"/>
  <c r="D9" i="12" s="1"/>
  <c r="C11" i="12"/>
  <c r="D11" i="12" s="1"/>
  <c r="C3" i="12"/>
  <c r="D3" i="12" s="1"/>
  <c r="C31" i="12"/>
  <c r="D31" i="12" s="1"/>
  <c r="C6" i="12"/>
  <c r="D6" i="12" s="1"/>
  <c r="C8" i="12"/>
  <c r="D8" i="12" s="1"/>
  <c r="C10" i="12"/>
  <c r="D10" i="12" s="1"/>
  <c r="C12" i="12"/>
  <c r="D12" i="12" s="1"/>
  <c r="C27" i="12"/>
  <c r="D27" i="12" s="1"/>
  <c r="C14" i="12"/>
  <c r="D14" i="12" s="1"/>
  <c r="C15" i="12"/>
  <c r="D15" i="12" s="1"/>
  <c r="C4" i="12"/>
  <c r="D4" i="12" s="1"/>
  <c r="C17" i="12"/>
  <c r="D17" i="12" s="1"/>
  <c r="C18" i="12"/>
  <c r="D18" i="12" s="1"/>
  <c r="C19" i="12"/>
  <c r="D19" i="12" s="1"/>
  <c r="C20" i="12"/>
  <c r="D20" i="12" s="1"/>
  <c r="C21" i="12"/>
  <c r="D21" i="12" s="1"/>
  <c r="C16" i="12"/>
  <c r="D16" i="12" s="1"/>
  <c r="C23" i="12"/>
  <c r="D23" i="12" s="1"/>
  <c r="C24" i="12"/>
  <c r="D24" i="12" s="1"/>
  <c r="C25" i="12"/>
  <c r="D25" i="12" s="1"/>
  <c r="C13" i="12"/>
  <c r="D13" i="12" s="1"/>
  <c r="C28" i="12"/>
  <c r="D28" i="12" s="1"/>
  <c r="C30" i="12"/>
  <c r="D30" i="12" s="1"/>
  <c r="C26" i="12"/>
  <c r="D26" i="12" s="1"/>
  <c r="C5" i="12"/>
  <c r="D5" i="12" s="1"/>
  <c r="C2" i="12"/>
  <c r="D2" i="12" s="1"/>
  <c r="B20" i="26" l="1"/>
  <c r="A21" i="26"/>
  <c r="B21" i="26" l="1"/>
  <c r="A22" i="26"/>
  <c r="B22" i="26" l="1"/>
  <c r="A23" i="26"/>
  <c r="B23" i="26" l="1"/>
  <c r="A24" i="26"/>
  <c r="B24" i="26" l="1"/>
  <c r="A25" i="26"/>
  <c r="B25" i="26" l="1"/>
  <c r="A26" i="26"/>
  <c r="B26" i="26" l="1"/>
  <c r="A27" i="26"/>
  <c r="B27" i="26" l="1"/>
  <c r="B28" i="26" l="1"/>
  <c r="A29" i="26"/>
  <c r="B29" i="26" l="1"/>
  <c r="A30" i="26"/>
  <c r="B30" i="26" s="1"/>
</calcChain>
</file>

<file path=xl/sharedStrings.xml><?xml version="1.0" encoding="utf-8"?>
<sst xmlns="http://schemas.openxmlformats.org/spreadsheetml/2006/main" count="1015" uniqueCount="176">
  <si>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</si>
  <si>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</si>
  <si>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</si>
  <si>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</si>
  <si>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</si>
  <si>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</si>
  <si>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</si>
  <si>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</si>
  <si>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</si>
  <si>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</si>
  <si>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</si>
  <si>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</si>
  <si>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</si>
  <si>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</si>
  <si>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</si>
  <si>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</si>
  <si>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</si>
  <si>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</si>
  <si>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</si>
  <si>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</si>
  <si>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</si>
  <si>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</si>
  <si>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</si>
  <si>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</si>
  <si>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</si>
  <si>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</si>
  <si>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</si>
  <si>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</si>
  <si>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</si>
  <si>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</si>
  <si>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</si>
  <si>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</si>
  <si>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</si>
  <si>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</si>
  <si>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</si>
  <si>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</si>
  <si>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</si>
  <si>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</si>
  <si>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</si>
  <si>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</si>
  <si>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</si>
  <si>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</si>
  <si>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</si>
  <si>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</si>
  <si>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</si>
  <si>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</si>
  <si>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</si>
  <si>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</si>
  <si>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</si>
  <si>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</si>
  <si>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</si>
  <si>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</si>
  <si>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</si>
  <si>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</si>
  <si>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</si>
  <si>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</si>
  <si>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</si>
  <si>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</si>
  <si>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</si>
  <si>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</si>
  <si>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</si>
  <si>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</si>
  <si>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</si>
  <si>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</si>
  <si>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</si>
  <si>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</si>
  <si>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</si>
  <si>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</si>
  <si>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</si>
  <si>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</si>
  <si>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</si>
  <si>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</si>
  <si>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</si>
  <si>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</si>
  <si>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</si>
  <si>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</si>
  <si>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</si>
  <si>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</si>
  <si>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Sales</t>
  </si>
  <si>
    <t>New Discount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</si>
  <si>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</si>
  <si>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</si>
  <si>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</si>
  <si>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</si>
  <si>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</si>
  <si>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</si>
  <si>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</si>
  <si>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</si>
  <si>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</si>
  <si>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</si>
  <si>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</si>
  <si>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</si>
  <si>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</si>
  <si>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</si>
  <si>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</si>
  <si>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</si>
  <si>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</si>
  <si>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</si>
  <si>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</si>
  <si>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</si>
  <si>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</si>
  <si>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</si>
  <si>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</si>
  <si>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</si>
  <si>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</si>
  <si>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</si>
  <si>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</si>
  <si>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</si>
  <si>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</si>
  <si>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</si>
  <si>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</si>
  <si>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</si>
  <si>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</si>
  <si>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</si>
  <si>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</si>
  <si>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</si>
  <si>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Month</t>
  </si>
  <si>
    <t>Bin</t>
  </si>
  <si>
    <t>More</t>
  </si>
  <si>
    <t>Frequency</t>
  </si>
  <si>
    <t>Row Labels</t>
  </si>
  <si>
    <t>Grand Total</t>
  </si>
  <si>
    <t>Sum of Sales</t>
  </si>
  <si>
    <t>WHAT-IF ANALYSIS</t>
  </si>
  <si>
    <t>Total Profit</t>
  </si>
  <si>
    <t>Current Average Discount</t>
  </si>
  <si>
    <t>Adjusted Profit</t>
  </si>
  <si>
    <t>$B$6</t>
  </si>
  <si>
    <t>$B$7</t>
  </si>
  <si>
    <t>Base Case</t>
  </si>
  <si>
    <t>Created by Shrey patel on 29-10-2026</t>
  </si>
  <si>
    <t>Best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</si>
  <si>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</si>
  <si>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</si>
  <si>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</si>
  <si>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</si>
  <si>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</si>
  <si>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</si>
  <si>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</si>
  <si>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</si>
  <si>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RESIDUAL OUTPUT</t>
  </si>
  <si>
    <t>Observation</t>
  </si>
  <si>
    <t>Predicted Profit</t>
  </si>
  <si>
    <t>Residuals</t>
  </si>
  <si>
    <t>Growth</t>
  </si>
  <si>
    <t>Trend</t>
  </si>
  <si>
    <t>TIMESTAMP ANALYSIS</t>
  </si>
  <si>
    <t>Last Updated Date &amp; Time</t>
  </si>
  <si>
    <t>Customer Rank</t>
  </si>
  <si>
    <t>Customer Category</t>
  </si>
  <si>
    <t>Top Customer Analysis</t>
  </si>
  <si>
    <t>Highest Sales</t>
  </si>
  <si>
    <t>Customer ID</t>
  </si>
  <si>
    <t>Column Labels</t>
  </si>
  <si>
    <t>Sales by Region</t>
  </si>
  <si>
    <t>Product Category</t>
  </si>
  <si>
    <t>SALES PERFORMANCE ANALYTICS DASHBOARD</t>
  </si>
  <si>
    <t>Profit Margin</t>
  </si>
  <si>
    <t>Total Transactions</t>
  </si>
  <si>
    <t>BUSINESS INSIGHTS</t>
  </si>
  <si>
    <t>Sales Performance:-</t>
  </si>
  <si>
    <t>Profitability:-</t>
  </si>
  <si>
    <t>Customer Analysis:-</t>
  </si>
  <si>
    <t>Regional Performance:-</t>
  </si>
  <si>
    <t>Monthly Sales Trend:-</t>
  </si>
  <si>
    <t>The dataset contains 200 sales transactions, with an average transaction value of approximately ₹976.09.</t>
  </si>
  <si>
    <t>The average profit per transaction is approximately ₹341.44. The business should monitor profit margins alongside sales performance</t>
  </si>
  <si>
    <t>The regional sales chart helps identify stronger and weaker sales regions for targeted business planning.</t>
  </si>
  <si>
    <t>1.Focus on retaining high-value customers thriugh personalised offers and loyalty programs.</t>
  </si>
  <si>
    <t>2.Monitor discount policies to maintain profitability.</t>
  </si>
  <si>
    <t>3.Develop targeted marketing strategies for lower-performing regions.</t>
  </si>
  <si>
    <t>4.Review monthly sales trends to improve inventory and sales planning.</t>
  </si>
  <si>
    <t>5.Use the dashboard regularly to monitor sales,profit,and business performance.</t>
  </si>
  <si>
    <t>BUSINESS RECOMMENDATION</t>
  </si>
  <si>
    <r>
      <t>T</t>
    </r>
    <r>
      <rPr>
        <sz val="14"/>
        <color theme="9"/>
        <rFont val="Calibri"/>
        <family val="2"/>
        <scheme val="minor"/>
      </rPr>
      <t>he Top 10 customers have been identified based on total purchases. These customers can be prioritized for retention activities.</t>
    </r>
  </si>
  <si>
    <r>
      <t>M</t>
    </r>
    <r>
      <rPr>
        <sz val="14"/>
        <color rgb="FF00B050"/>
        <rFont val="Calibri"/>
        <family val="2"/>
        <scheme val="minor"/>
      </rPr>
      <t>onthly sales growth analysis highlights periods of increasing and decreasing sales, supporting better forecasting and planning.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</si>
</sst>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m/yyyy"/>
    <numFmt numFmtId="166" formatCode="&quot;₹&quot;\ #,##0.00"/>
  </numFmts>
  <fonts count="4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i/>
      <sz val="11"/>
      <color theme="1"/>
      <name val="Calibri"/>
      <family val="2"/>
      <scheme val="minor"/>
    </font>
    <font>
      <b/>
      <sz val="18"/>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4"/>
      <color theme="1"/>
      <name val="Calibri"/>
      <family val="2"/>
      <scheme val="minor"/>
    </font>
    <font>
      <b/>
      <i/>
      <sz val="11"/>
      <color theme="1"/>
      <name val="Calibri"/>
      <family val="2"/>
      <scheme val="minor"/>
    </font>
    <font>
      <sz val="14"/>
      <color theme="1"/>
      <name val="Calibri"/>
      <family val="2"/>
      <scheme val="minor"/>
    </font>
    <font>
      <b/>
      <sz val="20"/>
      <color theme="1"/>
      <name val="Calibri"/>
      <family val="2"/>
      <scheme val="minor"/>
    </font>
    <font>
      <b/>
      <sz val="18"/>
      <color theme="5" tint="-0.249977111117893"/>
      <name val="Calibri"/>
      <family val="2"/>
      <scheme val="minor"/>
    </font>
    <font>
      <sz val="16"/>
      <color theme="5" tint="-0.249977111117893"/>
      <name val="Calibri"/>
      <family val="2"/>
      <scheme val="minor"/>
    </font>
    <font>
      <b/>
      <sz val="18"/>
      <color theme="6" tint="-0.249977111117893"/>
      <name val="Calibri"/>
      <family val="2"/>
      <scheme val="minor"/>
    </font>
    <font>
      <sz val="16"/>
      <color theme="6" tint="-0.249977111117893"/>
      <name val="Calibri"/>
      <family val="2"/>
      <scheme val="minor"/>
    </font>
    <font>
      <b/>
      <sz val="18"/>
      <color rgb="FF002060"/>
      <name val="Calibri"/>
      <family val="2"/>
      <scheme val="minor"/>
    </font>
    <font>
      <sz val="16"/>
      <color rgb="FF002060"/>
      <name val="Calibri"/>
      <family val="2"/>
      <scheme val="minor"/>
    </font>
    <font>
      <b/>
      <sz val="18"/>
      <color rgb="FFFF0000"/>
      <name val="Calibri"/>
      <family val="2"/>
      <scheme val="minor"/>
    </font>
    <font>
      <sz val="16"/>
      <color rgb="FFFF0000"/>
      <name val="Calibri"/>
      <family val="2"/>
      <scheme val="minor"/>
    </font>
    <font>
      <b/>
      <sz val="12"/>
      <color theme="1"/>
      <name val="Calibri"/>
      <family val="2"/>
      <scheme val="minor"/>
    </font>
    <font>
      <b/>
      <sz val="18"/>
      <color theme="5" tint="-0.499984740745262"/>
      <name val="Calibri"/>
      <family val="2"/>
      <scheme val="minor"/>
    </font>
    <font>
      <b/>
      <sz val="18"/>
      <color theme="7" tint="-0.499984740745262"/>
      <name val="Calibri"/>
      <family val="2"/>
      <scheme val="minor"/>
    </font>
    <font>
      <sz val="14"/>
      <color theme="5"/>
      <name val="Calibri"/>
      <family val="2"/>
      <scheme val="minor"/>
    </font>
    <font>
      <sz val="14"/>
      <color theme="9" tint="-0.499984740745262"/>
      <name val="Calibri"/>
      <family val="2"/>
      <scheme val="minor"/>
    </font>
    <font>
      <sz val="14"/>
      <color theme="4" tint="-0.249977111117893"/>
      <name val="Calibri"/>
      <family val="2"/>
      <scheme val="minor"/>
    </font>
    <font>
      <sz val="11"/>
      <color theme="4" tint="-0.249977111117893"/>
      <name val="Calibri"/>
      <family val="2"/>
      <scheme val="minor"/>
    </font>
    <font>
      <sz val="14"/>
      <color theme="9"/>
      <name val="Calibri"/>
      <family val="2"/>
      <scheme val="minor"/>
    </font>
    <font>
      <sz val="14"/>
      <color theme="7" tint="-0.249977111117893"/>
      <name val="Calibri"/>
      <family val="2"/>
      <scheme val="minor"/>
    </font>
    <font>
      <sz val="14"/>
      <color rgb="FF00B050"/>
      <name val="Calibri"/>
      <family val="2"/>
      <scheme val="minor"/>
    </font>
    <font>
      <sz val="14"/>
      <color theme="2" tint="-0.499984740745262"/>
      <name val="Calibri"/>
      <family val="2"/>
      <scheme val="minor"/>
    </font>
    <font>
      <sz val="14"/>
      <color theme="8" tint="-0.499984740745262"/>
      <name val="Calibri"/>
      <family val="2"/>
      <scheme val="minor"/>
    </font>
    <font>
      <sz val="14"/>
      <color rgb="FF002060"/>
      <name val="Calibri"/>
      <family val="2"/>
      <scheme val="minor"/>
    </font>
    <font>
      <sz val="11"/>
      <color rgb="FF002060"/>
      <name val="Calibri"/>
      <family val="2"/>
      <scheme val="minor"/>
    </font>
    <font>
      <sz val="20"/>
      <color rgb="FF00B0F0"/>
      <name val="Calibri"/>
      <family val="2"/>
      <scheme val="minor"/>
    </font>
    <font>
      <sz val="11"/>
      <color rgb="FF00B0F0"/>
      <name val="Calibri"/>
      <family val="2"/>
      <scheme val="minor"/>
    </font>
    <font>
      <b/>
      <sz val="16"/>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9">
    <xf numFmtId="0" fontId="0" fillId="0" borderId="0" xfId="0"/>
    <xf numFmtId="0" fontId="4" fillId="2" borderId="1" xfId="0" applyFont="1" applyFill="1" applyBorder="1" applyAlignment="1">
      <alignment horizontal="center"/>
    </xf>
    <xf numFmtId="0" fontId="5" fillId="0" borderId="0" xfId="0" applyFont="1"/>
    <xf numFmtId="0" fontId="6" fillId="0" borderId="0" xfId="0" applyFont="1"/>
    <xf numFmtId="0" fontId="7" fillId="0" borderId="0" xfId="0" applyFont="1"/>
    <xf numFmtId="164" fontId="7" fillId="0" borderId="0" xfId="0" applyNumberFormat="1" applyFont="1"/>
    <xf numFmtId="9" fontId="0" fillId="0" borderId="0" xfId="0" applyNumberFormat="1"/>
    <xf numFmtId="0" fontId="10" fillId="0" borderId="0" xfId="0" applyFont="1"/>
    <xf numFmtId="165" fontId="0" fillId="0" borderId="0" xfId="0" applyNumberFormat="1"/>
    <xf numFmtId="0" fontId="5" fillId="0" borderId="1" xfId="0" applyFont="1" applyBorder="1" applyAlignment="1">
      <alignment wrapText="1"/>
    </xf>
    <xf numFmtId="0" fontId="0" fillId="0" borderId="0" xfId="0" pivotButton="1"/>
    <xf numFmtId="0" fontId="0" fillId="0" borderId="0" xfId="0" applyAlignment="1">
      <alignment horizontal="left"/>
    </xf>
    <xf numFmtId="0" fontId="12" fillId="0" borderId="0" xfId="0" applyFont="1"/>
    <xf numFmtId="166" fontId="0" fillId="0" borderId="0" xfId="0" applyNumberFormat="1"/>
    <xf numFmtId="9" fontId="0" fillId="0" borderId="4" xfId="0" applyNumberFormat="1" applyBorder="1"/>
    <xf numFmtId="166" fontId="0" fillId="0" borderId="4" xfId="0" applyNumberFormat="1" applyBorder="1"/>
    <xf numFmtId="0" fontId="0" fillId="0" borderId="4" xfId="0" applyBorder="1"/>
    <xf numFmtId="10" fontId="0" fillId="0" borderId="4" xfId="0" applyNumberFormat="1" applyBorder="1"/>
    <xf numFmtId="0" fontId="0" fillId="0" borderId="2" xfId="0" applyBorder="1"/>
    <xf numFmtId="166" fontId="0" fillId="0" borderId="2" xfId="0" applyNumberFormat="1" applyBorder="1"/>
    <xf numFmtId="0" fontId="13" fillId="3" borderId="6" xfId="0" applyFont="1" applyFill="1" applyBorder="1" applyAlignment="1">
      <alignment horizontal="left"/>
    </xf>
    <xf numFmtId="0" fontId="13" fillId="3" borderId="5" xfId="0" applyFont="1" applyFill="1" applyBorder="1" applyAlignment="1">
      <alignment horizontal="left"/>
    </xf>
    <xf numFmtId="0" fontId="0" fillId="0" borderId="7" xfId="0" applyBorder="1"/>
    <xf numFmtId="0" fontId="14" fillId="4" borderId="0" xfId="0" applyFont="1" applyFill="1" applyAlignment="1">
      <alignment horizontal="left"/>
    </xf>
    <xf numFmtId="0" fontId="15" fillId="4" borderId="7" xfId="0" applyFont="1" applyFill="1" applyBorder="1" applyAlignment="1">
      <alignment horizontal="left"/>
    </xf>
    <xf numFmtId="0" fontId="14" fillId="4" borderId="2" xfId="0" applyFont="1" applyFill="1" applyBorder="1" applyAlignment="1">
      <alignment horizontal="left"/>
    </xf>
    <xf numFmtId="0" fontId="16" fillId="3" borderId="5" xfId="0" applyFont="1" applyFill="1" applyBorder="1" applyAlignment="1">
      <alignment horizontal="right"/>
    </xf>
    <xf numFmtId="0" fontId="16" fillId="3" borderId="6" xfId="0" applyFont="1" applyFill="1" applyBorder="1" applyAlignment="1">
      <alignment horizontal="right"/>
    </xf>
    <xf numFmtId="9" fontId="0" fillId="5" borderId="0" xfId="0" applyNumberFormat="1" applyFill="1"/>
    <xf numFmtId="0" fontId="17" fillId="0" borderId="0" xfId="0" applyFont="1" applyAlignment="1">
      <alignment vertical="top" wrapText="1"/>
    </xf>
    <xf numFmtId="0" fontId="18" fillId="0" borderId="0" xfId="0" applyFont="1"/>
    <xf numFmtId="0" fontId="7" fillId="0" borderId="0" xfId="0" applyFont="1" applyAlignment="1">
      <alignment horizontal="center"/>
    </xf>
    <xf numFmtId="0" fontId="11" fillId="0" borderId="3" xfId="0" applyFont="1" applyBorder="1" applyAlignment="1">
      <alignment horizontal="center"/>
    </xf>
    <xf numFmtId="0" fontId="11" fillId="0" borderId="3" xfId="0" applyFont="1" applyBorder="1" applyAlignment="1">
      <alignment horizontal="centerContinuous"/>
    </xf>
    <xf numFmtId="0" fontId="2" fillId="0" borderId="0" xfId="0" applyFont="1"/>
    <xf numFmtId="0" fontId="18" fillId="0" borderId="0" xfId="0" applyFont="1" applyAlignment="1">
      <alignment horizontal="center"/>
    </xf>
    <xf numFmtId="0" fontId="19" fillId="0" borderId="3" xfId="0" applyFont="1" applyBorder="1" applyAlignment="1">
      <alignment horizontal="center"/>
    </xf>
    <xf numFmtId="0" fontId="10" fillId="0" borderId="3" xfId="0" applyFont="1" applyBorder="1" applyAlignment="1">
      <alignment horizontal="center"/>
    </xf>
    <xf numFmtId="10" fontId="0" fillId="0" borderId="0" xfId="0" applyNumberFormat="1"/>
    <xf numFmtId="20" fontId="0" fillId="0" borderId="0" xfId="0" applyNumberFormat="1"/>
    <xf numFmtId="0" fontId="3" fillId="0" borderId="0" xfId="0" applyFont="1"/>
    <xf numFmtId="14" fontId="0" fillId="0" borderId="0" xfId="0" applyNumberFormat="1"/>
    <xf numFmtId="0" fontId="20" fillId="0" borderId="0" xfId="0" applyFont="1"/>
    <xf numFmtId="22" fontId="20" fillId="0" borderId="0" xfId="0" applyNumberFormat="1" applyFont="1"/>
    <xf numFmtId="0" fontId="2" fillId="0" borderId="0" xfId="0" applyFont="1" applyAlignment="1">
      <alignment horizontal="center"/>
    </xf>
    <xf numFmtId="0" fontId="0" fillId="0" borderId="0" xfId="0" applyAlignment="1">
      <alignment horizontal="center"/>
    </xf>
    <xf numFmtId="0" fontId="18" fillId="0" borderId="4" xfId="0" applyFont="1" applyBorder="1"/>
    <xf numFmtId="0" fontId="2" fillId="0" borderId="4" xfId="0" applyFont="1" applyBorder="1" applyAlignment="1">
      <alignment horizontal="center"/>
    </xf>
    <xf numFmtId="0" fontId="0" fillId="0" borderId="4" xfId="0" applyBorder="1" applyAlignment="1">
      <alignment horizontal="center"/>
    </xf>
    <xf numFmtId="166" fontId="0" fillId="0" borderId="4" xfId="0" applyNumberFormat="1" applyBorder="1" applyAlignment="1">
      <alignment horizontal="center"/>
    </xf>
    <xf numFmtId="0" fontId="18" fillId="0" borderId="8" xfId="0" applyFont="1" applyBorder="1"/>
    <xf numFmtId="0" fontId="0" fillId="0" borderId="0" xfId="0" applyAlignment="1">
      <alignment horizontal="center"/>
    </xf>
    <xf numFmtId="0" fontId="21" fillId="0" borderId="0" xfId="0" applyFont="1" applyAlignment="1">
      <alignment horizontal="center"/>
    </xf>
    <xf numFmtId="0" fontId="1" fillId="0" borderId="0" xfId="0" applyFont="1" applyAlignment="1">
      <alignment horizontal="center"/>
    </xf>
    <xf numFmtId="166" fontId="0" fillId="0" borderId="0" xfId="0" applyNumberFormat="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4" fillId="0" borderId="10" xfId="0" applyFont="1" applyBorder="1" applyAlignment="1">
      <alignment horizontal="center"/>
    </xf>
    <xf numFmtId="0" fontId="26" fillId="0" borderId="10" xfId="0" applyFont="1" applyBorder="1" applyAlignment="1">
      <alignment horizontal="center"/>
    </xf>
    <xf numFmtId="0" fontId="28" fillId="0" borderId="10" xfId="0" applyFont="1" applyBorder="1" applyAlignment="1">
      <alignment horizontal="center"/>
    </xf>
    <xf numFmtId="0" fontId="28" fillId="0" borderId="11" xfId="0" applyFont="1" applyBorder="1" applyAlignment="1">
      <alignment horizontal="center"/>
    </xf>
    <xf numFmtId="166" fontId="23" fillId="0" borderId="8" xfId="0" applyNumberFormat="1" applyFont="1" applyBorder="1" applyAlignment="1">
      <alignment horizontal="center"/>
    </xf>
    <xf numFmtId="166" fontId="23" fillId="0" borderId="0" xfId="0" applyNumberFormat="1" applyFont="1" applyBorder="1" applyAlignment="1">
      <alignment horizontal="center"/>
    </xf>
    <xf numFmtId="166" fontId="25" fillId="0" borderId="0" xfId="0" applyNumberFormat="1" applyFont="1" applyBorder="1" applyAlignment="1">
      <alignment horizontal="center"/>
    </xf>
    <xf numFmtId="10" fontId="27" fillId="0" borderId="0" xfId="0" applyNumberFormat="1" applyFont="1" applyBorder="1" applyAlignment="1">
      <alignment horizontal="center"/>
    </xf>
    <xf numFmtId="0" fontId="29" fillId="0" borderId="0" xfId="0" applyFont="1" applyBorder="1" applyAlignment="1">
      <alignment horizontal="center"/>
    </xf>
    <xf numFmtId="0" fontId="29" fillId="0" borderId="12" xfId="0" applyFont="1" applyBorder="1" applyAlignment="1">
      <alignment horizontal="center"/>
    </xf>
    <xf numFmtId="166" fontId="23" fillId="0" borderId="13" xfId="0" applyNumberFormat="1" applyFont="1" applyBorder="1" applyAlignment="1">
      <alignment horizontal="center"/>
    </xf>
    <xf numFmtId="166" fontId="23" fillId="0" borderId="6" xfId="0" applyNumberFormat="1" applyFont="1" applyBorder="1" applyAlignment="1">
      <alignment horizontal="center"/>
    </xf>
    <xf numFmtId="166" fontId="25" fillId="0" borderId="6" xfId="0" applyNumberFormat="1" applyFont="1" applyBorder="1" applyAlignment="1">
      <alignment horizontal="center"/>
    </xf>
    <xf numFmtId="10" fontId="27" fillId="0" borderId="6" xfId="0" applyNumberFormat="1" applyFont="1" applyBorder="1" applyAlignment="1">
      <alignment horizontal="center"/>
    </xf>
    <xf numFmtId="0" fontId="29" fillId="0" borderId="6" xfId="0" applyFont="1" applyBorder="1" applyAlignment="1">
      <alignment horizontal="center"/>
    </xf>
    <xf numFmtId="0" fontId="29" fillId="0" borderId="14" xfId="0" applyFont="1" applyBorder="1" applyAlignment="1">
      <alignment horizontal="center"/>
    </xf>
    <xf numFmtId="0" fontId="30" fillId="0" borderId="0" xfId="0" applyFont="1"/>
    <xf numFmtId="0" fontId="31" fillId="0" borderId="0" xfId="0" applyFont="1"/>
    <xf numFmtId="0" fontId="32" fillId="0" borderId="0" xfId="0" applyFont="1" applyAlignment="1"/>
    <xf numFmtId="0" fontId="33" fillId="0" borderId="0" xfId="0" applyFont="1"/>
    <xf numFmtId="0" fontId="34" fillId="0" borderId="0" xfId="0" applyFont="1"/>
    <xf numFmtId="0" fontId="35" fillId="0" borderId="0" xfId="0" applyFont="1"/>
    <xf numFmtId="0" fontId="36" fillId="0" borderId="0" xfId="0" applyFont="1"/>
    <xf numFmtId="0" fontId="38"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applyAlignment="1">
      <alignment horizontal="left"/>
    </xf>
    <xf numFmtId="0" fontId="45" fillId="0" borderId="0" xfId="0" applyFont="1"/>
    <xf numFmtId="0" fontId="46" fillId="0" borderId="0" xfId="0" applyFont="1"/>
    <xf numFmtId="165" fontId="0" fillId="0" borderId="0" xfId="0" applyNumberFormat="1" applyAlignment="1">
      <alignment horizontal="center"/>
    </xf>
  </cellXfs>
  <cellStyles count="1">
    <cellStyle name="Normal" xfId="0" builtinId="0"/>
  </cellStyles>
  <dxfs count="4">
    <dxf>
      <font>
        <color rgb="FF92D050"/>
      </font>
    </dxf>
    <dxf>
      <font>
        <color rgb="FFFF0000"/>
      </font>
    </dxf>
    <dxf>
      <font>
        <color rgb="FF00B05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Sales</a:t>
            </a:r>
            <a:r>
              <a:rPr lang="en-IN" baseline="0"/>
              <a:t> Distribution Histogram</a:t>
            </a:r>
            <a:endParaRPr lang="en-IN"/>
          </a:p>
        </c:rich>
      </c:tx>
      <c:overlay val="0"/>
    </c:title>
    <c:autoTitleDeleted val="0"/>
    <c:plotArea>
      <c:layout/>
      <c:barChart>
        <c:barDir val="col"/>
        <c:grouping val="clustered"/>
        <c:varyColors val="0"/>
        <c:ser>
          <c:idx val="0"/>
          <c:order val="0"/>
          <c:tx>
            <c:v>Frequency</c:v>
          </c:tx>
          <c:invertIfNegative val="0"/>
          <c:cat>
            <c:strRef>
              <c:f>'Descriptive Statistics'!$L$2:$L$16</c:f>
              <c:strCache>
                <c:ptCount val="15"/>
                <c:pt idx="0">
                  <c:v>258.51</c:v>
                </c:pt>
                <c:pt idx="1">
                  <c:v>377.4492857</c:v>
                </c:pt>
                <c:pt idx="2">
                  <c:v>496.3885714</c:v>
                </c:pt>
                <c:pt idx="3">
                  <c:v>615.3278571</c:v>
                </c:pt>
                <c:pt idx="4">
                  <c:v>734.2671429</c:v>
                </c:pt>
                <c:pt idx="5">
                  <c:v>853.2064286</c:v>
                </c:pt>
                <c:pt idx="6">
                  <c:v>972.1457143</c:v>
                </c:pt>
                <c:pt idx="7">
                  <c:v>1091.085</c:v>
                </c:pt>
                <c:pt idx="8">
                  <c:v>1210.024286</c:v>
                </c:pt>
                <c:pt idx="9">
                  <c:v>1328.963571</c:v>
                </c:pt>
                <c:pt idx="10">
                  <c:v>1447.902857</c:v>
                </c:pt>
                <c:pt idx="11">
                  <c:v>1566.842143</c:v>
                </c:pt>
                <c:pt idx="12">
                  <c:v>1685.781429</c:v>
                </c:pt>
                <c:pt idx="13">
                  <c:v>1804.720714</c:v>
                </c:pt>
                <c:pt idx="14">
                  <c:v>More</c:v>
                </c:pt>
              </c:strCache>
            </c:strRef>
          </c:cat>
          <c:val>
            <c:numRef>
              <c:f>'Descriptive Statistics'!$M$2:$M$16</c:f>
              <c:numCache>
                <c:formatCode>General</c:formatCode>
                <c:ptCount val="15"/>
                <c:pt idx="0">
                  <c:v>1</c:v>
                </c:pt>
                <c:pt idx="1">
                  <c:v>2</c:v>
                </c:pt>
                <c:pt idx="2">
                  <c:v>7</c:v>
                </c:pt>
                <c:pt idx="3">
                  <c:v>13</c:v>
                </c:pt>
                <c:pt idx="4">
                  <c:v>19</c:v>
                </c:pt>
                <c:pt idx="5">
                  <c:v>28</c:v>
                </c:pt>
                <c:pt idx="6">
                  <c:v>29</c:v>
                </c:pt>
                <c:pt idx="7">
                  <c:v>31</c:v>
                </c:pt>
                <c:pt idx="8">
                  <c:v>28</c:v>
                </c:pt>
                <c:pt idx="9">
                  <c:v>17</c:v>
                </c:pt>
                <c:pt idx="10">
                  <c:v>11</c:v>
                </c:pt>
                <c:pt idx="11">
                  <c:v>8</c:v>
                </c:pt>
                <c:pt idx="12">
                  <c:v>5</c:v>
                </c:pt>
                <c:pt idx="13">
                  <c:v>0</c:v>
                </c:pt>
                <c:pt idx="14">
                  <c:v>1</c:v>
                </c:pt>
              </c:numCache>
            </c:numRef>
          </c:val>
          <c:extLst>
            <c:ext xmlns:c16="http://schemas.microsoft.com/office/drawing/2014/chart" uri="{C3380CC4-5D6E-409C-BE32-E72D297353CC}">
              <c16:uniqueId val="{00000001-8FF5-472F-BF64-A9E104BA4760}"/>
            </c:ext>
          </c:extLst>
        </c:ser>
        <c:dLbls>
          <c:showLegendKey val="0"/>
          <c:showVal val="0"/>
          <c:showCatName val="0"/>
          <c:showSerName val="0"/>
          <c:showPercent val="0"/>
          <c:showBubbleSize val="0"/>
        </c:dLbls>
        <c:gapWidth val="150"/>
        <c:axId val="1403322543"/>
        <c:axId val="1407254991"/>
      </c:barChart>
      <c:catAx>
        <c:axId val="1403322543"/>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407254991"/>
        <c:crosses val="autoZero"/>
        <c:auto val="1"/>
        <c:lblAlgn val="ctr"/>
        <c:lblOffset val="100"/>
        <c:noMultiLvlLbl val="0"/>
      </c:catAx>
      <c:valAx>
        <c:axId val="1407254991"/>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40332254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[PR_2_Analyzer_Final.xlsx]Pivot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and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Central</c:v>
                </c:pt>
                <c:pt idx="1">
                  <c:v>East</c:v>
                </c:pt>
                <c:pt idx="2">
                  <c:v>North</c:v>
                </c:pt>
                <c:pt idx="3">
                  <c:v>South</c:v>
                </c:pt>
                <c:pt idx="4">
                  <c:v>West</c:v>
                </c:pt>
              </c:strCache>
            </c:strRef>
          </c:cat>
          <c:val>
            <c:numRef>
              <c:f>'Pivot Table'!$B$5:$B$10</c:f>
              <c:numCache>
                <c:formatCode>"₹"\ #,##0.00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F902-446C-B165-7793BBE4C1B6}"/>
            </c:ext>
          </c:extLst>
        </c:ser>
        <c:ser>
          <c:idx val="1"/>
          <c:order val="1"/>
          <c:tx>
            <c:strRef>
              <c:f>'Pivot Table'!$C$3:$C$4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Central</c:v>
                </c:pt>
                <c:pt idx="1">
                  <c:v>East</c:v>
                </c:pt>
                <c:pt idx="2">
                  <c:v>North</c:v>
                </c:pt>
                <c:pt idx="3">
                  <c:v>South</c:v>
                </c:pt>
                <c:pt idx="4">
                  <c:v>West</c:v>
                </c:pt>
              </c:strCache>
            </c:strRef>
          </c:cat>
          <c:val>
            <c:numRef>
              <c:f>'Pivot Table'!$C$5:$C$10</c:f>
              <c:numCache>
                <c:formatCode>"₹"\ #,##0.00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F902-446C-B165-7793BBE4C1B6}"/>
            </c:ext>
          </c:extLst>
        </c:ser>
        <c:ser>
          <c:idx val="2"/>
          <c:order val="2"/>
          <c:tx>
            <c:strRef>
              <c:f>'Pivot Table'!$D$3:$D$4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Central</c:v>
                </c:pt>
                <c:pt idx="1">
                  <c:v>East</c:v>
                </c:pt>
                <c:pt idx="2">
                  <c:v>North</c:v>
                </c:pt>
                <c:pt idx="3">
                  <c:v>South</c:v>
                </c:pt>
                <c:pt idx="4">
                  <c:v>West</c:v>
                </c:pt>
              </c:strCache>
            </c:strRef>
          </c:cat>
          <c:val>
            <c:numRef>
              <c:f>'Pivot Table'!$D$5:$D$10</c:f>
              <c:numCache>
                <c:formatCode>"₹"\ #,##0.00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F902-446C-B165-7793BBE4C1B6}"/>
            </c:ext>
          </c:extLst>
        </c:ser>
        <c:ser>
          <c:idx val="3"/>
          <c:order val="3"/>
          <c:tx>
            <c:strRef>
              <c:f>'Pivot Table'!$E$3:$E$4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Central</c:v>
                </c:pt>
                <c:pt idx="1">
                  <c:v>East</c:v>
                </c:pt>
                <c:pt idx="2">
                  <c:v>North</c:v>
                </c:pt>
                <c:pt idx="3">
                  <c:v>South</c:v>
                </c:pt>
                <c:pt idx="4">
                  <c:v>West</c:v>
                </c:pt>
              </c:strCache>
            </c:strRef>
          </c:cat>
          <c:val>
            <c:numRef>
              <c:f>'Pivot Table'!$E$5:$E$10</c:f>
              <c:numCache>
                <c:formatCode>"₹"\ #,##0.00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F902-446C-B165-7793BBE4C1B6}"/>
            </c:ext>
          </c:extLst>
        </c:ser>
        <c:ser>
          <c:idx val="4"/>
          <c:order val="4"/>
          <c:tx>
            <c:strRef>
              <c:f>'Pivot Table'!$F$3:$F$4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Table'!$A$5:$A$10</c:f>
              <c:strCache>
                <c:ptCount val="5"/>
                <c:pt idx="0">
                  <c:v>Central</c:v>
                </c:pt>
                <c:pt idx="1">
                  <c:v>East</c:v>
                </c:pt>
                <c:pt idx="2">
                  <c:v>North</c:v>
                </c:pt>
                <c:pt idx="3">
                  <c:v>South</c:v>
                </c:pt>
                <c:pt idx="4">
                  <c:v>West</c:v>
                </c:pt>
              </c:strCache>
            </c:strRef>
          </c:cat>
          <c:val>
            <c:numRef>
              <c:f>'Pivot Table'!$F$5:$F$10</c:f>
              <c:numCache>
                <c:formatCode>"₹"\ #,##0.00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F902-446C-B165-7793BBE4C1B6}"/>
            </c:ext>
          </c:extLst>
        </c:ser>
        <c:dLbls>
          <c:showLegendKey val="0"/>
          <c:showVal val="0"/>
          <c:showCatName val="0"/>
          <c:showSerName val="0"/>
          <c:showPercent val="0"/>
          <c:showBubbleSize val="0"/>
        </c:dLbls>
        <c:gapWidth val="100"/>
        <c:overlap val="-24"/>
        <c:axId val="1198432367"/>
        <c:axId val="1047903375"/>
      </c:barChart>
      <c:catAx>
        <c:axId val="11984323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7903375"/>
        <c:crosses val="autoZero"/>
        <c:auto val="1"/>
        <c:lblAlgn val="ctr"/>
        <c:lblOffset val="100"/>
        <c:noMultiLvlLbl val="0"/>
      </c:catAx>
      <c:valAx>
        <c:axId val="104790337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84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Sheet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Charts!$B$3</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Charts!$A$4:$A$8</c:f>
              <c:strCache>
                <c:ptCount val="5"/>
                <c:pt idx="0">
                  <c:v>Central</c:v>
                </c:pt>
                <c:pt idx="1">
                  <c:v>East</c:v>
                </c:pt>
                <c:pt idx="2">
                  <c:v>North</c:v>
                </c:pt>
                <c:pt idx="3">
                  <c:v>South</c:v>
                </c:pt>
                <c:pt idx="4">
                  <c:v>West</c:v>
                </c:pt>
              </c:strCache>
            </c:strRef>
          </c:cat>
          <c:val>
            <c:numRef>
              <c:f>Charts!$B$4:$B$8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9B91-40A5-A9C0-908174554123}"/>
            </c:ext>
          </c:extLst>
        </c:ser>
        <c:dLbls>
          <c:dLblPos val="inEnd"/>
          <c:showLegendKey val="0"/>
          <c:showVal val="1"/>
          <c:showCatName val="0"/>
          <c:showSerName val="0"/>
          <c:showPercent val="0"/>
          <c:showBubbleSize val="0"/>
        </c:dLbls>
        <c:gapWidth val="65"/>
        <c:axId val="1198450463"/>
        <c:axId val="1047921135"/>
      </c:barChart>
      <c:catAx>
        <c:axId val="119845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7921135"/>
        <c:crosses val="autoZero"/>
        <c:auto val="1"/>
        <c:lblAlgn val="ctr"/>
        <c:lblOffset val="100"/>
        <c:noMultiLvlLbl val="0"/>
      </c:catAx>
      <c:valAx>
        <c:axId val="1047921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84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Charts!$B$17</c:f>
              <c:strCache>
                <c:ptCount val="1"/>
                <c:pt idx="0">
                  <c:v>Total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Charts!$A$18:$A$30</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Charts!$B$18:$B$30</c:f>
              <c:numCache>
                <c:formatCode>"₹"\ #,##0.00</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E314-4528-9FAB-C5017AC8D293}"/>
            </c:ext>
          </c:extLst>
        </c:ser>
        <c:dLbls>
          <c:showLegendKey val="0"/>
          <c:showVal val="0"/>
          <c:showCatName val="0"/>
          <c:showSerName val="0"/>
          <c:showPercent val="0"/>
          <c:showBubbleSize val="0"/>
        </c:dLbls>
        <c:smooth val="0"/>
        <c:axId val="1783863151"/>
        <c:axId val="909617199"/>
      </c:lineChart>
      <c:dateAx>
        <c:axId val="1783863151"/>
        <c:scaling>
          <c:orientation val="minMax"/>
        </c:scaling>
        <c:delete val="0"/>
        <c:axPos val="b"/>
        <c:numFmt formatCode="mmm/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17199"/>
        <c:crosses val="autoZero"/>
        <c:auto val="1"/>
        <c:lblOffset val="100"/>
        <c:baseTimeUnit val="months"/>
      </c:dateAx>
      <c:valAx>
        <c:axId val="909617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6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Distribution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Charts!$B$33</c:f>
              <c:strCache>
                <c:ptCount val="1"/>
                <c:pt idx="0">
                  <c:v>Total Sales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Charts!$A$34:$A$38</c:f>
              <c:strCache>
                <c:ptCount val="5"/>
                <c:pt idx="0">
                  <c:v>Books</c:v>
                </c:pt>
                <c:pt idx="1">
                  <c:v>Clothing</c:v>
                </c:pt>
                <c:pt idx="2">
                  <c:v>Electronics</c:v>
                </c:pt>
                <c:pt idx="3">
                  <c:v>Furniture</c:v>
                </c:pt>
                <c:pt idx="4">
                  <c:v>Office Supplies</c:v>
                </c:pt>
              </c:strCache>
            </c:strRef>
          </c:cat>
          <c:val>
            <c:numRef>
              <c:f>Charts!$B$34:$B$38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1E66-46CE-8388-C7EA3236791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Sheet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Charts!$B$3</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Charts!$A$4:$A$8</c:f>
              <c:strCache>
                <c:ptCount val="5"/>
                <c:pt idx="0">
                  <c:v>Central</c:v>
                </c:pt>
                <c:pt idx="1">
                  <c:v>East</c:v>
                </c:pt>
                <c:pt idx="2">
                  <c:v>North</c:v>
                </c:pt>
                <c:pt idx="3">
                  <c:v>South</c:v>
                </c:pt>
                <c:pt idx="4">
                  <c:v>West</c:v>
                </c:pt>
              </c:strCache>
            </c:strRef>
          </c:cat>
          <c:val>
            <c:numRef>
              <c:f>Charts!$B$4:$B$8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CB3-4189-8D48-BBE518BA9D52}"/>
            </c:ext>
          </c:extLst>
        </c:ser>
        <c:dLbls>
          <c:dLblPos val="inEnd"/>
          <c:showLegendKey val="0"/>
          <c:showVal val="1"/>
          <c:showCatName val="0"/>
          <c:showSerName val="0"/>
          <c:showPercent val="0"/>
          <c:showBubbleSize val="0"/>
        </c:dLbls>
        <c:gapWidth val="65"/>
        <c:axId val="1198450463"/>
        <c:axId val="1047921135"/>
      </c:barChart>
      <c:catAx>
        <c:axId val="119845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7921135"/>
        <c:crosses val="autoZero"/>
        <c:auto val="1"/>
        <c:lblAlgn val="ctr"/>
        <c:lblOffset val="100"/>
        <c:noMultiLvlLbl val="0"/>
      </c:catAx>
      <c:valAx>
        <c:axId val="1047921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84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Charts!$B$17</c:f>
              <c:strCache>
                <c:ptCount val="1"/>
                <c:pt idx="0">
                  <c:v>Total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Charts!$A$18:$A$30</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Charts!$B$18:$B$30</c:f>
              <c:numCache>
                <c:formatCode>"₹"\ #,##0.00</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87ED-4EDD-B3D9-2CECD3FE8221}"/>
            </c:ext>
          </c:extLst>
        </c:ser>
        <c:dLbls>
          <c:showLegendKey val="0"/>
          <c:showVal val="0"/>
          <c:showCatName val="0"/>
          <c:showSerName val="0"/>
          <c:showPercent val="0"/>
          <c:showBubbleSize val="0"/>
        </c:dLbls>
        <c:smooth val="0"/>
        <c:axId val="1783863151"/>
        <c:axId val="909617199"/>
      </c:lineChart>
      <c:dateAx>
        <c:axId val="1783863151"/>
        <c:scaling>
          <c:orientation val="minMax"/>
        </c:scaling>
        <c:delete val="0"/>
        <c:axPos val="b"/>
        <c:numFmt formatCode="mmm/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17199"/>
        <c:crosses val="autoZero"/>
        <c:auto val="1"/>
        <c:lblOffset val="100"/>
        <c:baseTimeUnit val="months"/>
      </c:dateAx>
      <c:valAx>
        <c:axId val="909617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6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Distribution by Product Category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Charts!$B$33</c:f>
              <c:strCache>
                <c:ptCount val="1"/>
                <c:pt idx="0">
                  <c:v>Total Sales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3902-4B77-8873-011D1C5C49B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3902-4B77-8873-011D1C5C49B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3902-4B77-8873-011D1C5C49B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3902-4B77-8873-011D1C5C49B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3902-4B77-8873-011D1C5C49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Charts!$A$34:$A$38</c:f>
              <c:strCache>
                <c:ptCount val="5"/>
                <c:pt idx="0">
                  <c:v>Books</c:v>
                </c:pt>
                <c:pt idx="1">
                  <c:v>Clothing</c:v>
                </c:pt>
                <c:pt idx="2">
                  <c:v>Electronics</c:v>
                </c:pt>
                <c:pt idx="3">
                  <c:v>Furniture</c:v>
                </c:pt>
                <c:pt idx="4">
                  <c:v>Office Supplies</c:v>
                </c:pt>
              </c:strCache>
            </c:strRef>
          </c:cat>
          <c:val>
            <c:numRef>
              <c:f>Charts!$B$34:$B$38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3902-4B77-8873-011D1C5C49B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15240</xdr:colOff>
      <xdr:row>0</xdr:row>
      <xdr:rowOff>175260</xdr:rowOff>
    </xdr:from>
    <xdr:to>
      <xdr:col>21</xdr:col>
      <xdr:colOff>15240</xdr:colOff>
      <xdr:row>14</xdr:row>
      <xdr:rowOff>0</xdr:rowOff>
    </xdr:to>
    <xdr:graphicFrame macro="">
      <xdr:nvGraphicFramePr>
        <xdr:cNvPr id="2" name="Chart 1">
          <a:extLst>
            <a:ext uri="{FF2B5EF4-FFF2-40B4-BE49-F238E27FC236}">
              <a16:creationId xmlns:a16="http://schemas.microsoft.com/office/drawing/2014/main" id="{3FFD680C-FD98-527E-B6DB-B36DE878C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13</xdr:row>
      <xdr:rowOff>91440</xdr:rowOff>
    </xdr:from>
    <xdr:to>
      <xdr:col>8</xdr:col>
      <xdr:colOff>594360</xdr:colOff>
      <xdr:row>29</xdr:row>
      <xdr:rowOff>167640</xdr:rowOff>
    </xdr:to>
    <xdr:graphicFrame macro="">
      <xdr:nvGraphicFramePr>
        <xdr:cNvPr id="2" name="Chart 1">
          <a:extLst>
            <a:ext uri="{FF2B5EF4-FFF2-40B4-BE49-F238E27FC236}">
              <a16:creationId xmlns:a16="http://schemas.microsoft.com/office/drawing/2014/main" id="{3F0FD1BD-B893-E6CC-026E-C339B529D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205740</xdr:colOff>
      <xdr:row>14</xdr:row>
      <xdr:rowOff>30480</xdr:rowOff>
    </xdr:to>
    <xdr:graphicFrame macro="">
      <xdr:nvGraphicFramePr>
        <xdr:cNvPr id="2" name="Chart 1">
          <a:extLst>
            <a:ext uri="{FF2B5EF4-FFF2-40B4-BE49-F238E27FC236}">
              <a16:creationId xmlns:a16="http://schemas.microsoft.com/office/drawing/2014/main" id="{965B7915-3072-E681-192A-8CB3BA96A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16</xdr:row>
      <xdr:rowOff>30480</xdr:rowOff>
    </xdr:from>
    <xdr:to>
      <xdr:col>10</xdr:col>
      <xdr:colOff>320040</xdr:colOff>
      <xdr:row>29</xdr:row>
      <xdr:rowOff>152400</xdr:rowOff>
    </xdr:to>
    <xdr:graphicFrame macro="">
      <xdr:nvGraphicFramePr>
        <xdr:cNvPr id="3" name="Chart 2">
          <a:extLst>
            <a:ext uri="{FF2B5EF4-FFF2-40B4-BE49-F238E27FC236}">
              <a16:creationId xmlns:a16="http://schemas.microsoft.com/office/drawing/2014/main" id="{67435A75-90AE-8333-B085-9F9DE25B7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31</xdr:row>
      <xdr:rowOff>175260</xdr:rowOff>
    </xdr:from>
    <xdr:to>
      <xdr:col>11</xdr:col>
      <xdr:colOff>7620</xdr:colOff>
      <xdr:row>44</xdr:row>
      <xdr:rowOff>179070</xdr:rowOff>
    </xdr:to>
    <xdr:graphicFrame macro="">
      <xdr:nvGraphicFramePr>
        <xdr:cNvPr id="4" name="Chart 3">
          <a:extLst>
            <a:ext uri="{FF2B5EF4-FFF2-40B4-BE49-F238E27FC236}">
              <a16:creationId xmlns:a16="http://schemas.microsoft.com/office/drawing/2014/main" id="{EB4C47D4-84DC-5282-69EE-8BE91E306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106680</xdr:colOff>
      <xdr:row>23</xdr:row>
      <xdr:rowOff>7620</xdr:rowOff>
    </xdr:to>
    <xdr:graphicFrame macro="">
      <xdr:nvGraphicFramePr>
        <xdr:cNvPr id="2" name="Chart 1">
          <a:extLst>
            <a:ext uri="{FF2B5EF4-FFF2-40B4-BE49-F238E27FC236}">
              <a16:creationId xmlns:a16="http://schemas.microsoft.com/office/drawing/2014/main" id="{E2D22BDD-6AD3-4AA6-859D-FF7A20AC1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8</xdr:row>
      <xdr:rowOff>0</xdr:rowOff>
    </xdr:from>
    <xdr:to>
      <xdr:col>12</xdr:col>
      <xdr:colOff>304800</xdr:colOff>
      <xdr:row>23</xdr:row>
      <xdr:rowOff>68580</xdr:rowOff>
    </xdr:to>
    <xdr:graphicFrame macro="">
      <xdr:nvGraphicFramePr>
        <xdr:cNvPr id="3" name="Chart 2">
          <a:extLst>
            <a:ext uri="{FF2B5EF4-FFF2-40B4-BE49-F238E27FC236}">
              <a16:creationId xmlns:a16="http://schemas.microsoft.com/office/drawing/2014/main" id="{45AA1409-F97E-4768-AAAE-1A70EBE62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6</xdr:col>
      <xdr:colOff>160020</xdr:colOff>
      <xdr:row>39</xdr:row>
      <xdr:rowOff>167640</xdr:rowOff>
    </xdr:to>
    <xdr:graphicFrame macro="">
      <xdr:nvGraphicFramePr>
        <xdr:cNvPr id="4" name="Chart 3">
          <a:extLst>
            <a:ext uri="{FF2B5EF4-FFF2-40B4-BE49-F238E27FC236}">
              <a16:creationId xmlns:a16="http://schemas.microsoft.com/office/drawing/2014/main" id="{EBD8A5C6-87F3-4867-919C-E85ADD5C5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 patel" refreshedDate="46324.82490162037" createdVersion="8" refreshedVersion="8" minRefreshableVersion="3" recordCount="200" xr:uid="{E3691004-1A26-4F9A-90FC-6350D1CF0F73}">
  <cacheSource type="worksheet">
    <worksheetSource ref="A1:I201" sheet="Dataset"/>
  </cacheSource>
  <cacheFields count="9">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James Davis"/>
    <x v="0"/>
    <x v="0"/>
    <n v="1036.0899999999999"/>
    <n v="4"/>
    <n v="0.2"/>
    <d v="2024-04-10T00:00:00"/>
    <n v="331.55"/>
  </r>
  <r>
    <x v="1"/>
    <s v="Robert Anderson"/>
    <x v="0"/>
    <x v="1"/>
    <n v="1101.28"/>
    <n v="3"/>
    <n v="0.2"/>
    <d v="2024-04-11T00:00:00"/>
    <n v="440.51"/>
  </r>
  <r>
    <x v="2"/>
    <s v="James Taylor"/>
    <x v="1"/>
    <x v="0"/>
    <n v="713.34"/>
    <n v="17"/>
    <n v="0"/>
    <d v="2024-04-14T00:00:00"/>
    <n v="285.33999999999997"/>
  </r>
  <r>
    <x v="3"/>
    <s v="Robert Anderson"/>
    <x v="2"/>
    <x v="2"/>
    <n v="760.93"/>
    <n v="4"/>
    <n v="0.15"/>
    <d v="2024-04-14T00:00:00"/>
    <n v="161.69999999999999"/>
  </r>
  <r>
    <x v="4"/>
    <s v="James Wilson"/>
    <x v="3"/>
    <x v="0"/>
    <n v="847"/>
    <n v="12"/>
    <n v="0.2"/>
    <d v="2024-04-15T00:00:00"/>
    <n v="271.04000000000002"/>
  </r>
  <r>
    <x v="5"/>
    <s v="Michael Anderson"/>
    <x v="3"/>
    <x v="3"/>
    <n v="965.64"/>
    <n v="8"/>
    <n v="0.1"/>
    <d v="2024-04-16T00:00:00"/>
    <n v="304.18"/>
  </r>
  <r>
    <x v="6"/>
    <s v="Linda Wilson"/>
    <x v="0"/>
    <x v="2"/>
    <n v="1317.53"/>
    <n v="12"/>
    <n v="0.05"/>
    <d v="2024-04-16T00:00:00"/>
    <n v="312.91000000000003"/>
  </r>
  <r>
    <x v="7"/>
    <s v="Mary Davis"/>
    <x v="1"/>
    <x v="3"/>
    <n v="1074.47"/>
    <n v="6"/>
    <n v="0.2"/>
    <d v="2024-04-19T00:00:00"/>
    <n v="300.85000000000002"/>
  </r>
  <r>
    <x v="8"/>
    <s v="Linda Jackson"/>
    <x v="4"/>
    <x v="0"/>
    <n v="501.54"/>
    <n v="11"/>
    <n v="0.05"/>
    <d v="2024-04-19T00:00:00"/>
    <n v="190.59"/>
  </r>
  <r>
    <x v="9"/>
    <s v="David Thomas"/>
    <x v="4"/>
    <x v="1"/>
    <n v="737.31"/>
    <n v="2"/>
    <n v="0.05"/>
    <d v="2024-04-19T00:00:00"/>
    <n v="350.22"/>
  </r>
  <r>
    <x v="10"/>
    <s v="Emma Davis"/>
    <x v="0"/>
    <x v="4"/>
    <n v="1572.82"/>
    <n v="6"/>
    <n v="0.05"/>
    <d v="2024-04-20T00:00:00"/>
    <n v="672.38"/>
  </r>
  <r>
    <x v="10"/>
    <s v="David Thomas"/>
    <x v="4"/>
    <x v="0"/>
    <n v="1343.13"/>
    <n v="14"/>
    <n v="0.15"/>
    <d v="2024-04-22T00:00:00"/>
    <n v="456.66"/>
  </r>
  <r>
    <x v="5"/>
    <s v="Michael Anderson"/>
    <x v="4"/>
    <x v="0"/>
    <n v="1191.58"/>
    <n v="14"/>
    <n v="0.05"/>
    <d v="2024-04-24T00:00:00"/>
    <n v="452.8"/>
  </r>
  <r>
    <x v="11"/>
    <s v="Robert Anderson"/>
    <x v="0"/>
    <x v="3"/>
    <n v="822.28"/>
    <n v="7"/>
    <n v="0.05"/>
    <d v="2024-04-24T00:00:00"/>
    <n v="273.41000000000003"/>
  </r>
  <r>
    <x v="12"/>
    <s v="David Smith"/>
    <x v="3"/>
    <x v="3"/>
    <n v="521.66999999999996"/>
    <n v="15"/>
    <n v="0.15"/>
    <d v="2024-04-27T00:00:00"/>
    <n v="155.19999999999999"/>
  </r>
  <r>
    <x v="3"/>
    <s v="Sarah Anderson"/>
    <x v="2"/>
    <x v="2"/>
    <n v="1502.93"/>
    <n v="14"/>
    <n v="0.2"/>
    <d v="2024-04-28T00:00:00"/>
    <n v="300.58999999999997"/>
  </r>
  <r>
    <x v="13"/>
    <s v="Robert Anderson"/>
    <x v="2"/>
    <x v="0"/>
    <n v="877.58"/>
    <n v="10"/>
    <n v="0.15"/>
    <d v="2024-04-29T00:00:00"/>
    <n v="298.38"/>
  </r>
  <r>
    <x v="6"/>
    <s v="Lisa Thomas"/>
    <x v="0"/>
    <x v="0"/>
    <n v="636.70000000000005"/>
    <n v="4"/>
    <n v="0.2"/>
    <d v="2024-04-29T00:00:00"/>
    <n v="203.74"/>
  </r>
  <r>
    <x v="14"/>
    <s v="Mary Jackson"/>
    <x v="0"/>
    <x v="0"/>
    <n v="1506.14"/>
    <n v="13"/>
    <n v="0.2"/>
    <d v="2024-04-30T00:00:00"/>
    <n v="481.96"/>
  </r>
  <r>
    <x v="7"/>
    <s v="Mary Davis"/>
    <x v="4"/>
    <x v="2"/>
    <n v="645.02"/>
    <n v="4"/>
    <n v="0"/>
    <d v="2024-05-02T00:00:00"/>
    <n v="161.26"/>
  </r>
  <r>
    <x v="5"/>
    <s v="Lisa Davis"/>
    <x v="2"/>
    <x v="1"/>
    <n v="953.3"/>
    <n v="11"/>
    <n v="0"/>
    <d v="2024-05-03T00:00:00"/>
    <n v="476.65"/>
  </r>
  <r>
    <x v="15"/>
    <s v="Robert Anderson"/>
    <x v="3"/>
    <x v="2"/>
    <n v="388.56"/>
    <n v="14"/>
    <n v="0.15"/>
    <d v="2024-05-04T00:00:00"/>
    <n v="82.57"/>
  </r>
  <r>
    <x v="0"/>
    <s v="Mary Davis"/>
    <x v="0"/>
    <x v="0"/>
    <n v="743.17"/>
    <n v="9"/>
    <n v="0"/>
    <d v="2024-05-04T00:00:00"/>
    <n v="297.27"/>
  </r>
  <r>
    <x v="11"/>
    <s v="Mary Davis"/>
    <x v="4"/>
    <x v="2"/>
    <n v="706.37"/>
    <n v="6"/>
    <n v="0"/>
    <d v="2024-05-04T00:00:00"/>
    <n v="176.59"/>
  </r>
  <r>
    <x v="1"/>
    <s v="Mary Davis"/>
    <x v="4"/>
    <x v="4"/>
    <n v="925.31"/>
    <n v="8"/>
    <n v="0.1"/>
    <d v="2024-05-06T00:00:00"/>
    <n v="374.75"/>
  </r>
  <r>
    <x v="9"/>
    <s v="Linda Brown"/>
    <x v="2"/>
    <x v="2"/>
    <n v="1173.1199999999999"/>
    <n v="18"/>
    <n v="0"/>
    <d v="2024-05-06T00:00:00"/>
    <n v="293.27999999999997"/>
  </r>
  <r>
    <x v="4"/>
    <s v="John Brown"/>
    <x v="3"/>
    <x v="3"/>
    <n v="675.54"/>
    <n v="17"/>
    <n v="0"/>
    <d v="2024-05-08T00:00:00"/>
    <n v="236.44"/>
  </r>
  <r>
    <x v="5"/>
    <s v="Robert Anderson"/>
    <x v="4"/>
    <x v="0"/>
    <n v="939.09"/>
    <n v="2"/>
    <n v="0.05"/>
    <d v="2024-05-10T00:00:00"/>
    <n v="356.85"/>
  </r>
  <r>
    <x v="16"/>
    <s v="Linda Taylor"/>
    <x v="1"/>
    <x v="4"/>
    <n v="983.34"/>
    <n v="19"/>
    <n v="0.1"/>
    <d v="2024-05-14T00:00:00"/>
    <n v="398.25"/>
  </r>
  <r>
    <x v="16"/>
    <s v="James Wilson"/>
    <x v="2"/>
    <x v="2"/>
    <n v="801.21"/>
    <n v="3"/>
    <n v="0.2"/>
    <d v="2024-05-14T00:00:00"/>
    <n v="160.24"/>
  </r>
  <r>
    <x v="17"/>
    <s v="David Brown"/>
    <x v="3"/>
    <x v="2"/>
    <n v="1450.71"/>
    <n v="5"/>
    <n v="0.1"/>
    <d v="2024-05-15T00:00:00"/>
    <n v="326.41000000000003"/>
  </r>
  <r>
    <x v="15"/>
    <s v="David Davis"/>
    <x v="4"/>
    <x v="0"/>
    <n v="1023.21"/>
    <n v="18"/>
    <n v="0.05"/>
    <d v="2024-05-16T00:00:00"/>
    <n v="388.82"/>
  </r>
  <r>
    <x v="6"/>
    <s v="Mary Jackson"/>
    <x v="0"/>
    <x v="3"/>
    <n v="853.72"/>
    <n v="5"/>
    <n v="0.15"/>
    <d v="2024-05-16T00:00:00"/>
    <n v="253.98"/>
  </r>
  <r>
    <x v="18"/>
    <s v="Sarah Anderson"/>
    <x v="2"/>
    <x v="2"/>
    <n v="967.89"/>
    <n v="10"/>
    <n v="0.1"/>
    <d v="2024-05-17T00:00:00"/>
    <n v="217.78"/>
  </r>
  <r>
    <x v="19"/>
    <s v="Linda Taylor"/>
    <x v="3"/>
    <x v="4"/>
    <n v="1200.9000000000001"/>
    <n v="14"/>
    <n v="0.05"/>
    <d v="2024-05-17T00:00:00"/>
    <n v="513.38"/>
  </r>
  <r>
    <x v="1"/>
    <s v="Michael Anderson"/>
    <x v="0"/>
    <x v="0"/>
    <n v="472.38"/>
    <n v="12"/>
    <n v="0.2"/>
    <d v="2024-05-17T00:00:00"/>
    <n v="151.16"/>
  </r>
  <r>
    <x v="0"/>
    <s v="David Brown"/>
    <x v="1"/>
    <x v="4"/>
    <n v="840.92"/>
    <n v="9"/>
    <n v="0.05"/>
    <d v="2024-05-17T00:00:00"/>
    <n v="359.49"/>
  </r>
  <r>
    <x v="16"/>
    <s v="Lisa Davis"/>
    <x v="4"/>
    <x v="3"/>
    <n v="1410.06"/>
    <n v="11"/>
    <n v="0.05"/>
    <d v="2024-05-22T00:00:00"/>
    <n v="468.84"/>
  </r>
  <r>
    <x v="13"/>
    <s v="Mary Wilson"/>
    <x v="4"/>
    <x v="3"/>
    <n v="773.09"/>
    <n v="13"/>
    <n v="0.15"/>
    <d v="2024-05-22T00:00:00"/>
    <n v="229.99"/>
  </r>
  <r>
    <x v="20"/>
    <s v="Emma Wilson"/>
    <x v="1"/>
    <x v="0"/>
    <n v="580.42999999999995"/>
    <n v="19"/>
    <n v="0.15"/>
    <d v="2024-05-23T00:00:00"/>
    <n v="197.35"/>
  </r>
  <r>
    <x v="3"/>
    <s v="David Smith"/>
    <x v="2"/>
    <x v="0"/>
    <n v="1151.21"/>
    <n v="15"/>
    <n v="0.1"/>
    <d v="2024-06-02T00:00:00"/>
    <n v="414.44"/>
  </r>
  <r>
    <x v="16"/>
    <s v="James Wilson"/>
    <x v="4"/>
    <x v="4"/>
    <n v="1025.98"/>
    <n v="5"/>
    <n v="0.2"/>
    <d v="2024-06-04T00:00:00"/>
    <n v="369.35"/>
  </r>
  <r>
    <x v="11"/>
    <s v="David Davis"/>
    <x v="1"/>
    <x v="4"/>
    <n v="556.41999999999996"/>
    <n v="11"/>
    <n v="0.15"/>
    <d v="2024-06-04T00:00:00"/>
    <n v="212.83"/>
  </r>
  <r>
    <x v="18"/>
    <s v="James Wilson"/>
    <x v="4"/>
    <x v="0"/>
    <n v="840.85"/>
    <n v="19"/>
    <n v="0.1"/>
    <d v="2024-06-05T00:00:00"/>
    <n v="302.70999999999998"/>
  </r>
  <r>
    <x v="7"/>
    <s v="Emma Wilson"/>
    <x v="3"/>
    <x v="3"/>
    <n v="1227.25"/>
    <n v="12"/>
    <n v="0.15"/>
    <d v="2024-06-05T00:00:00"/>
    <n v="365.11"/>
  </r>
  <r>
    <x v="2"/>
    <s v="Linda Davis"/>
    <x v="4"/>
    <x v="2"/>
    <n v="856.7"/>
    <n v="2"/>
    <n v="0"/>
    <d v="2024-06-06T00:00:00"/>
    <n v="214.18"/>
  </r>
  <r>
    <x v="17"/>
    <s v="David Davis"/>
    <x v="4"/>
    <x v="4"/>
    <n v="1225.42"/>
    <n v="8"/>
    <n v="0.15"/>
    <d v="2024-06-06T00:00:00"/>
    <n v="468.72"/>
  </r>
  <r>
    <x v="21"/>
    <s v="Mary Davis"/>
    <x v="3"/>
    <x v="4"/>
    <n v="1001.57"/>
    <n v="12"/>
    <n v="0"/>
    <d v="2024-06-07T00:00:00"/>
    <n v="450.71"/>
  </r>
  <r>
    <x v="18"/>
    <s v="Michael Anderson"/>
    <x v="1"/>
    <x v="3"/>
    <n v="1186.8499999999999"/>
    <n v="19"/>
    <n v="0.2"/>
    <d v="2024-06-08T00:00:00"/>
    <n v="332.32"/>
  </r>
  <r>
    <x v="13"/>
    <s v="John Brown"/>
    <x v="2"/>
    <x v="2"/>
    <n v="775.45"/>
    <n v="6"/>
    <n v="0.1"/>
    <d v="2024-06-14T00:00:00"/>
    <n v="174.48"/>
  </r>
  <r>
    <x v="5"/>
    <s v="Linda Jackson"/>
    <x v="2"/>
    <x v="2"/>
    <n v="1021.47"/>
    <n v="6"/>
    <n v="0.05"/>
    <d v="2024-06-18T00:00:00"/>
    <n v="242.6"/>
  </r>
  <r>
    <x v="19"/>
    <s v="James Wilson"/>
    <x v="2"/>
    <x v="1"/>
    <n v="1226.6199999999999"/>
    <n v="7"/>
    <n v="0.1"/>
    <d v="2024-06-20T00:00:00"/>
    <n v="551.98"/>
  </r>
  <r>
    <x v="4"/>
    <s v="Sarah Davis"/>
    <x v="2"/>
    <x v="3"/>
    <n v="1086.93"/>
    <n v="2"/>
    <n v="0"/>
    <d v="2024-06-21T00:00:00"/>
    <n v="380.43"/>
  </r>
  <r>
    <x v="22"/>
    <s v="Lisa Davis"/>
    <x v="0"/>
    <x v="0"/>
    <n v="942.9"/>
    <n v="18"/>
    <n v="0.1"/>
    <d v="2024-06-23T00:00:00"/>
    <n v="339.44"/>
  </r>
  <r>
    <x v="8"/>
    <s v="Emma Davis"/>
    <x v="3"/>
    <x v="2"/>
    <n v="818.8"/>
    <n v="15"/>
    <n v="0.15"/>
    <d v="2024-06-25T00:00:00"/>
    <n v="173.99"/>
  </r>
  <r>
    <x v="3"/>
    <s v="Robert Anderson"/>
    <x v="2"/>
    <x v="3"/>
    <n v="919.04"/>
    <n v="10"/>
    <n v="0.2"/>
    <d v="2024-06-25T00:00:00"/>
    <n v="257.33"/>
  </r>
  <r>
    <x v="4"/>
    <s v="Emma Taylor"/>
    <x v="4"/>
    <x v="0"/>
    <n v="973.26"/>
    <n v="11"/>
    <n v="0"/>
    <d v="2024-06-27T00:00:00"/>
    <n v="389.3"/>
  </r>
  <r>
    <x v="12"/>
    <s v="Sarah Davis"/>
    <x v="3"/>
    <x v="2"/>
    <n v="741.61"/>
    <n v="1"/>
    <n v="0.2"/>
    <d v="2024-06-28T00:00:00"/>
    <n v="148.32"/>
  </r>
  <r>
    <x v="23"/>
    <s v="Emma Davis"/>
    <x v="3"/>
    <x v="0"/>
    <n v="1248.82"/>
    <n v="2"/>
    <n v="0.1"/>
    <d v="2024-06-30T00:00:00"/>
    <n v="449.58"/>
  </r>
  <r>
    <x v="1"/>
    <s v="Mary Wilson"/>
    <x v="0"/>
    <x v="1"/>
    <n v="1360.36"/>
    <n v="17"/>
    <n v="0"/>
    <d v="2024-06-30T00:00:00"/>
    <n v="680.18"/>
  </r>
  <r>
    <x v="18"/>
    <s v="Mary Davis"/>
    <x v="1"/>
    <x v="0"/>
    <n v="1383.3"/>
    <n v="8"/>
    <n v="0.1"/>
    <d v="2024-07-05T00:00:00"/>
    <n v="497.99"/>
  </r>
  <r>
    <x v="9"/>
    <s v="David Brown"/>
    <x v="4"/>
    <x v="4"/>
    <n v="488.99"/>
    <n v="9"/>
    <n v="0"/>
    <d v="2024-07-06T00:00:00"/>
    <n v="220.05"/>
  </r>
  <r>
    <x v="7"/>
    <s v="Mary Davis"/>
    <x v="1"/>
    <x v="3"/>
    <n v="933.71"/>
    <n v="17"/>
    <n v="0.1"/>
    <d v="2024-07-08T00:00:00"/>
    <n v="294.12"/>
  </r>
  <r>
    <x v="23"/>
    <s v="James Davis"/>
    <x v="0"/>
    <x v="2"/>
    <n v="1005.53"/>
    <n v="17"/>
    <n v="0.2"/>
    <d v="2024-07-08T00:00:00"/>
    <n v="201.11"/>
  </r>
  <r>
    <x v="12"/>
    <s v="Emma Wilson"/>
    <x v="2"/>
    <x v="2"/>
    <n v="1100.0999999999999"/>
    <n v="5"/>
    <n v="0.05"/>
    <d v="2024-07-09T00:00:00"/>
    <n v="261.27"/>
  </r>
  <r>
    <x v="23"/>
    <s v="James Wilson"/>
    <x v="3"/>
    <x v="3"/>
    <n v="1034.7"/>
    <n v="15"/>
    <n v="0.15"/>
    <d v="2024-07-14T00:00:00"/>
    <n v="307.82"/>
  </r>
  <r>
    <x v="22"/>
    <s v="Mary Davis"/>
    <x v="2"/>
    <x v="0"/>
    <n v="876.44"/>
    <n v="12"/>
    <n v="0.05"/>
    <d v="2024-07-15T00:00:00"/>
    <n v="333.05"/>
  </r>
  <r>
    <x v="24"/>
    <s v="David Brown"/>
    <x v="0"/>
    <x v="3"/>
    <n v="1371.34"/>
    <n v="5"/>
    <n v="0.05"/>
    <d v="2024-07-15T00:00:00"/>
    <n v="455.97"/>
  </r>
  <r>
    <x v="18"/>
    <s v="Mary Jackson"/>
    <x v="3"/>
    <x v="2"/>
    <n v="1020.26"/>
    <n v="11"/>
    <n v="0.05"/>
    <d v="2024-07-21T00:00:00"/>
    <n v="242.31"/>
  </r>
  <r>
    <x v="13"/>
    <s v="James Davis"/>
    <x v="4"/>
    <x v="4"/>
    <n v="804.81"/>
    <n v="1"/>
    <n v="0.05"/>
    <d v="2024-07-29T00:00:00"/>
    <n v="344.06"/>
  </r>
  <r>
    <x v="4"/>
    <s v="David Brown"/>
    <x v="4"/>
    <x v="2"/>
    <n v="608.66"/>
    <n v="1"/>
    <n v="0.05"/>
    <d v="2024-07-30T00:00:00"/>
    <n v="144.56"/>
  </r>
  <r>
    <x v="24"/>
    <s v="Linda Moore"/>
    <x v="2"/>
    <x v="4"/>
    <n v="981.2"/>
    <n v="19"/>
    <n v="0"/>
    <d v="2024-07-31T00:00:00"/>
    <n v="441.54"/>
  </r>
  <r>
    <x v="25"/>
    <s v="David Brown"/>
    <x v="1"/>
    <x v="2"/>
    <n v="539.77"/>
    <n v="10"/>
    <n v="0.15"/>
    <d v="2024-08-05T00:00:00"/>
    <n v="114.7"/>
  </r>
  <r>
    <x v="1"/>
    <s v="David Anderson"/>
    <x v="2"/>
    <x v="0"/>
    <n v="804.45"/>
    <n v="5"/>
    <n v="0.2"/>
    <d v="2024-08-05T00:00:00"/>
    <n v="257.42"/>
  </r>
  <r>
    <x v="25"/>
    <s v="Emma Davis"/>
    <x v="0"/>
    <x v="2"/>
    <n v="1526.6"/>
    <n v="13"/>
    <n v="0.2"/>
    <d v="2024-08-08T00:00:00"/>
    <n v="305.32"/>
  </r>
  <r>
    <x v="1"/>
    <s v="Linda Wilson"/>
    <x v="0"/>
    <x v="2"/>
    <n v="1215.26"/>
    <n v="5"/>
    <n v="0.15"/>
    <d v="2024-08-09T00:00:00"/>
    <n v="258.24"/>
  </r>
  <r>
    <x v="3"/>
    <s v="Linda Taylor"/>
    <x v="4"/>
    <x v="3"/>
    <n v="1261.3399999999999"/>
    <n v="3"/>
    <n v="0"/>
    <d v="2024-08-15T00:00:00"/>
    <n v="441.47"/>
  </r>
  <r>
    <x v="26"/>
    <s v="Lisa Thomas"/>
    <x v="3"/>
    <x v="3"/>
    <n v="518.07000000000005"/>
    <n v="7"/>
    <n v="0.05"/>
    <d v="2024-08-18T00:00:00"/>
    <n v="172.26"/>
  </r>
  <r>
    <x v="7"/>
    <s v="Linda Wilson"/>
    <x v="0"/>
    <x v="4"/>
    <n v="1111.3399999999999"/>
    <n v="1"/>
    <n v="0"/>
    <d v="2024-08-19T00:00:00"/>
    <n v="500.1"/>
  </r>
  <r>
    <x v="4"/>
    <s v="Mary Davis"/>
    <x v="1"/>
    <x v="1"/>
    <n v="1291.47"/>
    <n v="18"/>
    <n v="0.1"/>
    <d v="2024-08-22T00:00:00"/>
    <n v="581.16"/>
  </r>
  <r>
    <x v="5"/>
    <s v="David Brown"/>
    <x v="3"/>
    <x v="0"/>
    <n v="679.71"/>
    <n v="19"/>
    <n v="0"/>
    <d v="2024-08-30T00:00:00"/>
    <n v="271.88"/>
  </r>
  <r>
    <x v="24"/>
    <s v="Linda Jackson"/>
    <x v="1"/>
    <x v="3"/>
    <n v="1143.69"/>
    <n v="17"/>
    <n v="0"/>
    <d v="2024-08-30T00:00:00"/>
    <n v="400.29"/>
  </r>
  <r>
    <x v="16"/>
    <s v="Linda Brown"/>
    <x v="4"/>
    <x v="2"/>
    <n v="790.08"/>
    <n v="7"/>
    <n v="0.1"/>
    <d v="2024-09-01T00:00:00"/>
    <n v="177.77"/>
  </r>
  <r>
    <x v="3"/>
    <s v="Lisa Davis"/>
    <x v="4"/>
    <x v="0"/>
    <n v="1070.68"/>
    <n v="7"/>
    <n v="0.05"/>
    <d v="2024-09-01T00:00:00"/>
    <n v="406.86"/>
  </r>
  <r>
    <x v="19"/>
    <s v="David Thomas"/>
    <x v="0"/>
    <x v="1"/>
    <n v="1168.8900000000001"/>
    <n v="4"/>
    <n v="0.1"/>
    <d v="2024-09-09T00:00:00"/>
    <n v="526"/>
  </r>
  <r>
    <x v="23"/>
    <s v="James Davis"/>
    <x v="2"/>
    <x v="2"/>
    <n v="1335.87"/>
    <n v="17"/>
    <n v="0"/>
    <d v="2024-09-09T00:00:00"/>
    <n v="333.97"/>
  </r>
  <r>
    <x v="11"/>
    <s v="David Brown"/>
    <x v="1"/>
    <x v="3"/>
    <n v="873.7"/>
    <n v="9"/>
    <n v="0"/>
    <d v="2024-09-11T00:00:00"/>
    <n v="305.8"/>
  </r>
  <r>
    <x v="26"/>
    <s v="Sarah Davis"/>
    <x v="0"/>
    <x v="4"/>
    <n v="1443.98"/>
    <n v="19"/>
    <n v="0"/>
    <d v="2024-09-12T00:00:00"/>
    <n v="649.79"/>
  </r>
  <r>
    <x v="11"/>
    <s v="James Wilson"/>
    <x v="1"/>
    <x v="4"/>
    <n v="1154.33"/>
    <n v="11"/>
    <n v="0.15"/>
    <d v="2024-09-14T00:00:00"/>
    <n v="441.53"/>
  </r>
  <r>
    <x v="15"/>
    <s v="Linda Brown"/>
    <x v="2"/>
    <x v="0"/>
    <n v="1264.49"/>
    <n v="16"/>
    <n v="0.05"/>
    <d v="2024-09-14T00:00:00"/>
    <n v="480.51"/>
  </r>
  <r>
    <x v="5"/>
    <s v="Emma Taylor"/>
    <x v="0"/>
    <x v="3"/>
    <n v="1101.55"/>
    <n v="4"/>
    <n v="0.1"/>
    <d v="2024-09-16T00:00:00"/>
    <n v="346.99"/>
  </r>
  <r>
    <x v="27"/>
    <s v="Robert Anderson"/>
    <x v="2"/>
    <x v="3"/>
    <n v="727.73"/>
    <n v="1"/>
    <n v="0.1"/>
    <d v="2024-09-17T00:00:00"/>
    <n v="229.23"/>
  </r>
  <r>
    <x v="28"/>
    <s v="Emma Davis"/>
    <x v="1"/>
    <x v="4"/>
    <n v="875.41"/>
    <n v="13"/>
    <n v="0.15"/>
    <d v="2024-09-17T00:00:00"/>
    <n v="334.84"/>
  </r>
  <r>
    <x v="23"/>
    <s v="James Wilson"/>
    <x v="0"/>
    <x v="2"/>
    <n v="1158.94"/>
    <n v="19"/>
    <n v="0.2"/>
    <d v="2024-09-18T00:00:00"/>
    <n v="231.79"/>
  </r>
  <r>
    <x v="29"/>
    <s v="Mary Jackson"/>
    <x v="2"/>
    <x v="0"/>
    <n v="966.3"/>
    <n v="2"/>
    <n v="0.15"/>
    <d v="2024-09-22T00:00:00"/>
    <n v="328.54"/>
  </r>
  <r>
    <x v="24"/>
    <s v="James Taylor"/>
    <x v="2"/>
    <x v="0"/>
    <n v="917.48"/>
    <n v="6"/>
    <n v="0"/>
    <d v="2024-09-23T00:00:00"/>
    <n v="366.99"/>
  </r>
  <r>
    <x v="12"/>
    <s v="Emma Wilson"/>
    <x v="0"/>
    <x v="3"/>
    <n v="1172.97"/>
    <n v="7"/>
    <n v="0.15"/>
    <d v="2024-09-24T00:00:00"/>
    <n v="348.96"/>
  </r>
  <r>
    <x v="18"/>
    <s v="James Wilson"/>
    <x v="3"/>
    <x v="1"/>
    <n v="1205.82"/>
    <n v="11"/>
    <n v="0.1"/>
    <d v="2024-09-24T00:00:00"/>
    <n v="542.62"/>
  </r>
  <r>
    <x v="2"/>
    <s v="Sarah Davis"/>
    <x v="0"/>
    <x v="4"/>
    <n v="826.93"/>
    <n v="10"/>
    <n v="0.2"/>
    <d v="2024-09-29T00:00:00"/>
    <n v="297.69"/>
  </r>
  <r>
    <x v="23"/>
    <s v="James Wilson"/>
    <x v="4"/>
    <x v="1"/>
    <n v="902.19"/>
    <n v="12"/>
    <n v="0"/>
    <d v="2024-09-29T00:00:00"/>
    <n v="451.1"/>
  </r>
  <r>
    <x v="28"/>
    <s v="Emma Davis"/>
    <x v="3"/>
    <x v="0"/>
    <n v="585.97"/>
    <n v="17"/>
    <n v="0.1"/>
    <d v="2024-09-30T00:00:00"/>
    <n v="210.95"/>
  </r>
  <r>
    <x v="20"/>
    <s v="Michael Anderson"/>
    <x v="3"/>
    <x v="1"/>
    <n v="990.19"/>
    <n v="8"/>
    <n v="0.1"/>
    <d v="2024-09-30T00:00:00"/>
    <n v="445.59"/>
  </r>
  <r>
    <x v="13"/>
    <s v="David Davis"/>
    <x v="4"/>
    <x v="2"/>
    <n v="1014.09"/>
    <n v="13"/>
    <n v="0.2"/>
    <d v="2024-10-02T00:00:00"/>
    <n v="202.82"/>
  </r>
  <r>
    <x v="1"/>
    <s v="Lisa Davis"/>
    <x v="3"/>
    <x v="2"/>
    <n v="925.29"/>
    <n v="17"/>
    <n v="0"/>
    <d v="2024-10-05T00:00:00"/>
    <n v="231.32"/>
  </r>
  <r>
    <x v="17"/>
    <s v="Mary Jackson"/>
    <x v="1"/>
    <x v="3"/>
    <n v="1286.54"/>
    <n v="8"/>
    <n v="0"/>
    <d v="2024-10-10T00:00:00"/>
    <n v="450.29"/>
  </r>
  <r>
    <x v="10"/>
    <s v="Sarah Davis"/>
    <x v="2"/>
    <x v="0"/>
    <n v="961.62"/>
    <n v="8"/>
    <n v="0.2"/>
    <d v="2024-10-12T00:00:00"/>
    <n v="307.72000000000003"/>
  </r>
  <r>
    <x v="13"/>
    <s v="James Wilson"/>
    <x v="1"/>
    <x v="0"/>
    <n v="1081.1400000000001"/>
    <n v="19"/>
    <n v="0.15"/>
    <d v="2024-10-12T00:00:00"/>
    <n v="367.59"/>
  </r>
  <r>
    <x v="19"/>
    <s v="James Wilson"/>
    <x v="0"/>
    <x v="1"/>
    <n v="1923.66"/>
    <n v="9"/>
    <n v="0.2"/>
    <d v="2024-10-15T00:00:00"/>
    <n v="769.46"/>
  </r>
  <r>
    <x v="17"/>
    <s v="Emma Taylor"/>
    <x v="4"/>
    <x v="1"/>
    <n v="728.71"/>
    <n v="14"/>
    <n v="0.1"/>
    <d v="2024-10-16T00:00:00"/>
    <n v="327.92"/>
  </r>
  <r>
    <x v="0"/>
    <s v="Linda Jackson"/>
    <x v="4"/>
    <x v="1"/>
    <n v="1301.8900000000001"/>
    <n v="7"/>
    <n v="0.15"/>
    <d v="2024-10-16T00:00:00"/>
    <n v="553.29999999999995"/>
  </r>
  <r>
    <x v="25"/>
    <s v="Emma Taylor"/>
    <x v="1"/>
    <x v="0"/>
    <n v="980.18"/>
    <n v="16"/>
    <n v="0.1"/>
    <d v="2024-10-17T00:00:00"/>
    <n v="352.86"/>
  </r>
  <r>
    <x v="28"/>
    <s v="James Wilson"/>
    <x v="0"/>
    <x v="1"/>
    <n v="697.57"/>
    <n v="17"/>
    <n v="0.1"/>
    <d v="2024-10-19T00:00:00"/>
    <n v="313.91000000000003"/>
  </r>
  <r>
    <x v="14"/>
    <s v="David Anderson"/>
    <x v="0"/>
    <x v="3"/>
    <n v="1193.6099999999999"/>
    <n v="1"/>
    <n v="0.15"/>
    <d v="2024-10-19T00:00:00"/>
    <n v="355.1"/>
  </r>
  <r>
    <x v="8"/>
    <s v="Emma Davis"/>
    <x v="2"/>
    <x v="2"/>
    <n v="771.02"/>
    <n v="1"/>
    <n v="0"/>
    <d v="2024-10-20T00:00:00"/>
    <n v="192.76"/>
  </r>
  <r>
    <x v="23"/>
    <s v="Linda Moore"/>
    <x v="3"/>
    <x v="1"/>
    <n v="661.09"/>
    <n v="1"/>
    <n v="0.2"/>
    <d v="2024-10-28T00:00:00"/>
    <n v="264.44"/>
  </r>
  <r>
    <x v="1"/>
    <s v="David Brown"/>
    <x v="0"/>
    <x v="2"/>
    <n v="688.83"/>
    <n v="15"/>
    <n v="0"/>
    <d v="2024-10-30T00:00:00"/>
    <n v="172.21"/>
  </r>
  <r>
    <x v="27"/>
    <s v="Linda Wilson"/>
    <x v="4"/>
    <x v="0"/>
    <n v="1249.0999999999999"/>
    <n v="4"/>
    <n v="0.05"/>
    <d v="2024-11-01T00:00:00"/>
    <n v="474.66"/>
  </r>
  <r>
    <x v="13"/>
    <s v="James Wilson"/>
    <x v="1"/>
    <x v="4"/>
    <n v="1014.22"/>
    <n v="14"/>
    <n v="0.05"/>
    <d v="2024-11-03T00:00:00"/>
    <n v="433.58"/>
  </r>
  <r>
    <x v="17"/>
    <s v="Lisa Davis"/>
    <x v="1"/>
    <x v="0"/>
    <n v="1010.58"/>
    <n v="2"/>
    <n v="0.15"/>
    <d v="2024-11-09T00:00:00"/>
    <n v="343.6"/>
  </r>
  <r>
    <x v="7"/>
    <s v="Mary Wilson"/>
    <x v="3"/>
    <x v="3"/>
    <n v="957.29"/>
    <n v="4"/>
    <n v="0.05"/>
    <d v="2024-11-09T00:00:00"/>
    <n v="318.3"/>
  </r>
  <r>
    <x v="6"/>
    <s v="Lisa Thomas"/>
    <x v="3"/>
    <x v="3"/>
    <n v="1077.92"/>
    <n v="3"/>
    <n v="0.05"/>
    <d v="2024-11-12T00:00:00"/>
    <n v="358.41"/>
  </r>
  <r>
    <x v="16"/>
    <s v="Linda Brown"/>
    <x v="2"/>
    <x v="1"/>
    <n v="1163.01"/>
    <n v="5"/>
    <n v="0"/>
    <d v="2024-11-15T00:00:00"/>
    <n v="581.5"/>
  </r>
  <r>
    <x v="17"/>
    <s v="Lisa Thomas"/>
    <x v="1"/>
    <x v="4"/>
    <n v="1014.56"/>
    <n v="10"/>
    <n v="0.1"/>
    <d v="2024-11-16T00:00:00"/>
    <n v="410.9"/>
  </r>
  <r>
    <x v="0"/>
    <s v="James Taylor"/>
    <x v="2"/>
    <x v="2"/>
    <n v="718.04"/>
    <n v="14"/>
    <n v="0"/>
    <d v="2024-11-17T00:00:00"/>
    <n v="179.51"/>
  </r>
  <r>
    <x v="26"/>
    <s v="James Taylor"/>
    <x v="4"/>
    <x v="1"/>
    <n v="1277.8499999999999"/>
    <n v="18"/>
    <n v="0.2"/>
    <d v="2024-11-17T00:00:00"/>
    <n v="511.14"/>
  </r>
  <r>
    <x v="25"/>
    <s v="James Wilson"/>
    <x v="3"/>
    <x v="2"/>
    <n v="706.73"/>
    <n v="1"/>
    <n v="0.15"/>
    <d v="2024-11-17T00:00:00"/>
    <n v="150.18"/>
  </r>
  <r>
    <x v="22"/>
    <s v="Linda Brown"/>
    <x v="1"/>
    <x v="2"/>
    <n v="1410.59"/>
    <n v="15"/>
    <n v="0"/>
    <d v="2024-11-19T00:00:00"/>
    <n v="352.65"/>
  </r>
  <r>
    <x v="8"/>
    <s v="Emma Wilson"/>
    <x v="2"/>
    <x v="3"/>
    <n v="1350.33"/>
    <n v="10"/>
    <n v="0"/>
    <d v="2024-11-19T00:00:00"/>
    <n v="472.62"/>
  </r>
  <r>
    <x v="12"/>
    <s v="Lisa Thomas"/>
    <x v="1"/>
    <x v="2"/>
    <n v="919.18"/>
    <n v="4"/>
    <n v="0.15"/>
    <d v="2024-11-19T00:00:00"/>
    <n v="195.33"/>
  </r>
  <r>
    <x v="28"/>
    <s v="James Wilson"/>
    <x v="0"/>
    <x v="2"/>
    <n v="258.51"/>
    <n v="19"/>
    <n v="0"/>
    <d v="2024-11-20T00:00:00"/>
    <n v="64.63"/>
  </r>
  <r>
    <x v="21"/>
    <s v="Emma Wilson"/>
    <x v="1"/>
    <x v="0"/>
    <n v="1213.48"/>
    <n v="5"/>
    <n v="0.05"/>
    <d v="2024-11-20T00:00:00"/>
    <n v="461.12"/>
  </r>
  <r>
    <x v="18"/>
    <s v="Emma Davis"/>
    <x v="4"/>
    <x v="0"/>
    <n v="1150.28"/>
    <n v="8"/>
    <n v="0.05"/>
    <d v="2024-11-26T00:00:00"/>
    <n v="437.11"/>
  </r>
  <r>
    <x v="10"/>
    <s v="David Anderson"/>
    <x v="2"/>
    <x v="3"/>
    <n v="853.86"/>
    <n v="8"/>
    <n v="0.1"/>
    <d v="2024-11-26T00:00:00"/>
    <n v="268.97000000000003"/>
  </r>
  <r>
    <x v="29"/>
    <s v="Lisa Thomas"/>
    <x v="2"/>
    <x v="2"/>
    <n v="1061.04"/>
    <n v="1"/>
    <n v="0"/>
    <d v="2024-11-28T00:00:00"/>
    <n v="265.26"/>
  </r>
  <r>
    <x v="6"/>
    <s v="Sarah Anderson"/>
    <x v="0"/>
    <x v="2"/>
    <n v="894.55"/>
    <n v="19"/>
    <n v="0.2"/>
    <d v="2024-11-29T00:00:00"/>
    <n v="178.91"/>
  </r>
  <r>
    <x v="5"/>
    <s v="Emma Davis"/>
    <x v="3"/>
    <x v="4"/>
    <n v="833.91"/>
    <n v="3"/>
    <n v="0.05"/>
    <d v="2024-11-30T00:00:00"/>
    <n v="356.5"/>
  </r>
  <r>
    <x v="19"/>
    <s v="David Anderson"/>
    <x v="0"/>
    <x v="3"/>
    <n v="820.19"/>
    <n v="4"/>
    <n v="0.2"/>
    <d v="2024-12-04T00:00:00"/>
    <n v="229.65"/>
  </r>
  <r>
    <x v="19"/>
    <s v="Emma Davis"/>
    <x v="4"/>
    <x v="2"/>
    <n v="511.74"/>
    <n v="8"/>
    <n v="0.05"/>
    <d v="2024-12-05T00:00:00"/>
    <n v="121.54"/>
  </r>
  <r>
    <x v="22"/>
    <s v="Emma Wilson"/>
    <x v="2"/>
    <x v="3"/>
    <n v="806.03"/>
    <n v="19"/>
    <n v="0.05"/>
    <d v="2024-12-12T00:00:00"/>
    <n v="268"/>
  </r>
  <r>
    <x v="6"/>
    <s v="Michael Anderson"/>
    <x v="4"/>
    <x v="3"/>
    <n v="1432.47"/>
    <n v="16"/>
    <n v="0.15"/>
    <d v="2024-12-14T00:00:00"/>
    <n v="426.16"/>
  </r>
  <r>
    <x v="28"/>
    <s v="Linda Wilson"/>
    <x v="4"/>
    <x v="2"/>
    <n v="1488.58"/>
    <n v="10"/>
    <n v="0.15"/>
    <d v="2024-12-14T00:00:00"/>
    <n v="316.32"/>
  </r>
  <r>
    <x v="7"/>
    <s v="Emma Taylor"/>
    <x v="1"/>
    <x v="0"/>
    <n v="1231.26"/>
    <n v="9"/>
    <n v="0"/>
    <d v="2024-12-20T00:00:00"/>
    <n v="492.5"/>
  </r>
  <r>
    <x v="7"/>
    <s v="Sarah Anderson"/>
    <x v="0"/>
    <x v="2"/>
    <n v="1161.67"/>
    <n v="19"/>
    <n v="0.2"/>
    <d v="2024-12-21T00:00:00"/>
    <n v="232.33"/>
  </r>
  <r>
    <x v="15"/>
    <s v="Lisa Thomas"/>
    <x v="4"/>
    <x v="4"/>
    <n v="388.23"/>
    <n v="16"/>
    <n v="0.05"/>
    <d v="2024-12-24T00:00:00"/>
    <n v="165.97"/>
  </r>
  <r>
    <x v="26"/>
    <s v="Mary Davis"/>
    <x v="3"/>
    <x v="1"/>
    <n v="1589.42"/>
    <n v="6"/>
    <n v="0.15"/>
    <d v="2024-12-25T00:00:00"/>
    <n v="675.5"/>
  </r>
  <r>
    <x v="6"/>
    <s v="David Anderson"/>
    <x v="3"/>
    <x v="1"/>
    <n v="336.66"/>
    <n v="13"/>
    <n v="0.2"/>
    <d v="2024-12-25T00:00:00"/>
    <n v="134.66"/>
  </r>
  <r>
    <x v="15"/>
    <s v="James Wilson"/>
    <x v="0"/>
    <x v="0"/>
    <n v="1353.79"/>
    <n v="14"/>
    <n v="0.1"/>
    <d v="2024-12-30T00:00:00"/>
    <n v="487.36"/>
  </r>
  <r>
    <x v="21"/>
    <s v="Linda Moore"/>
    <x v="4"/>
    <x v="1"/>
    <n v="662.61"/>
    <n v="11"/>
    <n v="0.05"/>
    <d v="2025-01-01T00:00:00"/>
    <n v="314.74"/>
  </r>
  <r>
    <x v="16"/>
    <s v="Lisa Davis"/>
    <x v="3"/>
    <x v="4"/>
    <n v="309.42"/>
    <n v="1"/>
    <n v="0.2"/>
    <d v="2025-01-01T00:00:00"/>
    <n v="111.39"/>
  </r>
  <r>
    <x v="21"/>
    <s v="Linda Wilson"/>
    <x v="3"/>
    <x v="0"/>
    <n v="884.63"/>
    <n v="18"/>
    <n v="0.1"/>
    <d v="2025-01-02T00:00:00"/>
    <n v="318.47000000000003"/>
  </r>
  <r>
    <x v="16"/>
    <s v="James Wilson"/>
    <x v="4"/>
    <x v="4"/>
    <n v="745.05"/>
    <n v="10"/>
    <n v="0.1"/>
    <d v="2025-01-03T00:00:00"/>
    <n v="301.75"/>
  </r>
  <r>
    <x v="20"/>
    <s v="James Taylor"/>
    <x v="2"/>
    <x v="1"/>
    <n v="870.23"/>
    <n v="5"/>
    <n v="0.05"/>
    <d v="2025-01-03T00:00:00"/>
    <n v="413.36"/>
  </r>
  <r>
    <x v="9"/>
    <s v="Linda Wilson"/>
    <x v="0"/>
    <x v="3"/>
    <n v="862.19"/>
    <n v="18"/>
    <n v="0.05"/>
    <d v="2025-01-06T00:00:00"/>
    <n v="286.68"/>
  </r>
  <r>
    <x v="27"/>
    <s v="Mary Wilson"/>
    <x v="3"/>
    <x v="1"/>
    <n v="1171.18"/>
    <n v="19"/>
    <n v="0.05"/>
    <d v="2025-01-10T00:00:00"/>
    <n v="556.30999999999995"/>
  </r>
  <r>
    <x v="19"/>
    <s v="Robert Anderson"/>
    <x v="2"/>
    <x v="3"/>
    <n v="1054.56"/>
    <n v="11"/>
    <n v="0.1"/>
    <d v="2025-01-12T00:00:00"/>
    <n v="332.19"/>
  </r>
  <r>
    <x v="19"/>
    <s v="James Wilson"/>
    <x v="3"/>
    <x v="2"/>
    <n v="1681.21"/>
    <n v="5"/>
    <n v="0.2"/>
    <d v="2025-01-13T00:00:00"/>
    <n v="336.24"/>
  </r>
  <r>
    <x v="19"/>
    <s v="David Thomas"/>
    <x v="0"/>
    <x v="1"/>
    <n v="379.77"/>
    <n v="9"/>
    <n v="0.05"/>
    <d v="2025-01-16T00:00:00"/>
    <n v="180.39"/>
  </r>
  <r>
    <x v="13"/>
    <s v="Lisa Thomas"/>
    <x v="4"/>
    <x v="1"/>
    <n v="1076.33"/>
    <n v="2"/>
    <n v="0.1"/>
    <d v="2025-01-17T00:00:00"/>
    <n v="484.35"/>
  </r>
  <r>
    <x v="13"/>
    <s v="Mary Davis"/>
    <x v="4"/>
    <x v="4"/>
    <n v="1250.71"/>
    <n v="7"/>
    <n v="0"/>
    <d v="2025-01-17T00:00:00"/>
    <n v="562.82000000000005"/>
  </r>
  <r>
    <x v="11"/>
    <s v="James Taylor"/>
    <x v="2"/>
    <x v="1"/>
    <n v="1118.3399999999999"/>
    <n v="6"/>
    <n v="0.2"/>
    <d v="2025-01-17T00:00:00"/>
    <n v="447.34"/>
  </r>
  <r>
    <x v="25"/>
    <s v="Linda Taylor"/>
    <x v="3"/>
    <x v="1"/>
    <n v="1622.62"/>
    <n v="12"/>
    <n v="0.2"/>
    <d v="2025-01-20T00:00:00"/>
    <n v="649.04999999999995"/>
  </r>
  <r>
    <x v="29"/>
    <s v="Lisa Davis"/>
    <x v="3"/>
    <x v="0"/>
    <n v="640.64"/>
    <n v="11"/>
    <n v="0.2"/>
    <d v="2025-01-21T00:00:00"/>
    <n v="205"/>
  </r>
  <r>
    <x v="4"/>
    <s v="Sarah Anderson"/>
    <x v="0"/>
    <x v="1"/>
    <n v="585.16"/>
    <n v="17"/>
    <n v="0.1"/>
    <d v="2025-01-27T00:00:00"/>
    <n v="263.32"/>
  </r>
  <r>
    <x v="4"/>
    <s v="Mary Davis"/>
    <x v="1"/>
    <x v="1"/>
    <n v="1109.98"/>
    <n v="5"/>
    <n v="0.2"/>
    <d v="2025-02-02T00:00:00"/>
    <n v="443.99"/>
  </r>
  <r>
    <x v="19"/>
    <s v="Lisa Thomas"/>
    <x v="1"/>
    <x v="0"/>
    <n v="1098.08"/>
    <n v="9"/>
    <n v="0.1"/>
    <d v="2025-02-04T00:00:00"/>
    <n v="395.31"/>
  </r>
  <r>
    <x v="22"/>
    <s v="Lisa Davis"/>
    <x v="0"/>
    <x v="4"/>
    <n v="827.25"/>
    <n v="7"/>
    <n v="0.1"/>
    <d v="2025-02-05T00:00:00"/>
    <n v="335.04"/>
  </r>
  <r>
    <x v="25"/>
    <s v="Linda Wilson"/>
    <x v="4"/>
    <x v="1"/>
    <n v="741.88"/>
    <n v="16"/>
    <n v="0.1"/>
    <d v="2025-02-07T00:00:00"/>
    <n v="333.85"/>
  </r>
  <r>
    <x v="26"/>
    <s v="James Davis"/>
    <x v="1"/>
    <x v="4"/>
    <n v="1311.26"/>
    <n v="6"/>
    <n v="0.1"/>
    <d v="2025-02-10T00:00:00"/>
    <n v="531.05999999999995"/>
  </r>
  <r>
    <x v="26"/>
    <s v="Mary Davis"/>
    <x v="2"/>
    <x v="4"/>
    <n v="573.32000000000005"/>
    <n v="19"/>
    <n v="0.1"/>
    <d v="2025-02-15T00:00:00"/>
    <n v="232.19"/>
  </r>
  <r>
    <x v="16"/>
    <s v="James Wilson"/>
    <x v="0"/>
    <x v="2"/>
    <n v="1115.22"/>
    <n v="14"/>
    <n v="0.2"/>
    <d v="2025-02-17T00:00:00"/>
    <n v="223.04"/>
  </r>
  <r>
    <x v="1"/>
    <s v="Lisa Thomas"/>
    <x v="3"/>
    <x v="1"/>
    <n v="845.84"/>
    <n v="4"/>
    <n v="0"/>
    <d v="2025-02-19T00:00:00"/>
    <n v="422.92"/>
  </r>
  <r>
    <x v="7"/>
    <s v="David Brown"/>
    <x v="0"/>
    <x v="2"/>
    <n v="1029.8"/>
    <n v="3"/>
    <n v="0"/>
    <d v="2025-02-20T00:00:00"/>
    <n v="257.45"/>
  </r>
  <r>
    <x v="8"/>
    <s v="Mary Davis"/>
    <x v="3"/>
    <x v="0"/>
    <n v="1189.83"/>
    <n v="2"/>
    <n v="0.2"/>
    <d v="2025-02-21T00:00:00"/>
    <n v="380.75"/>
  </r>
  <r>
    <x v="23"/>
    <s v="Sarah Anderson"/>
    <x v="2"/>
    <x v="0"/>
    <n v="704.28"/>
    <n v="15"/>
    <n v="0.2"/>
    <d v="2025-02-24T00:00:00"/>
    <n v="225.37"/>
  </r>
  <r>
    <x v="22"/>
    <s v="Mary Jackson"/>
    <x v="4"/>
    <x v="4"/>
    <n v="1618.22"/>
    <n v="12"/>
    <n v="0.2"/>
    <d v="2025-02-24T00:00:00"/>
    <n v="582.55999999999995"/>
  </r>
  <r>
    <x v="27"/>
    <s v="Linda Taylor"/>
    <x v="4"/>
    <x v="0"/>
    <n v="1014.43"/>
    <n v="2"/>
    <n v="0.15"/>
    <d v="2025-02-25T00:00:00"/>
    <n v="344.91"/>
  </r>
  <r>
    <x v="29"/>
    <s v="Mary Davis"/>
    <x v="4"/>
    <x v="1"/>
    <n v="826.97"/>
    <n v="18"/>
    <n v="0.2"/>
    <d v="2025-02-27T00:00:00"/>
    <n v="330.79"/>
  </r>
  <r>
    <x v="2"/>
    <s v="Mary Davis"/>
    <x v="4"/>
    <x v="1"/>
    <n v="1022.23"/>
    <n v="8"/>
    <n v="0.1"/>
    <d v="2025-03-01T00:00:00"/>
    <n v="460"/>
  </r>
  <r>
    <x v="26"/>
    <s v="Linda Wilson"/>
    <x v="1"/>
    <x v="0"/>
    <n v="1099.69"/>
    <n v="6"/>
    <n v="0"/>
    <d v="2025-03-02T00:00:00"/>
    <n v="439.88"/>
  </r>
  <r>
    <x v="16"/>
    <s v="Sarah Davis"/>
    <x v="3"/>
    <x v="0"/>
    <n v="710.52"/>
    <n v="8"/>
    <n v="0.1"/>
    <d v="2025-03-05T00:00:00"/>
    <n v="255.79"/>
  </r>
  <r>
    <x v="16"/>
    <s v="Mary Wilson"/>
    <x v="3"/>
    <x v="0"/>
    <n v="499.18"/>
    <n v="15"/>
    <n v="0.2"/>
    <d v="2025-03-08T00:00:00"/>
    <n v="159.74"/>
  </r>
  <r>
    <x v="10"/>
    <s v="Emma Davis"/>
    <x v="2"/>
    <x v="0"/>
    <n v="1064.19"/>
    <n v="18"/>
    <n v="0.05"/>
    <d v="2025-03-09T00:00:00"/>
    <n v="404.39"/>
  </r>
  <r>
    <x v="23"/>
    <s v="Emma Davis"/>
    <x v="1"/>
    <x v="4"/>
    <n v="438.76"/>
    <n v="18"/>
    <n v="0.05"/>
    <d v="2025-03-10T00:00:00"/>
    <n v="187.57"/>
  </r>
  <r>
    <x v="12"/>
    <s v="David Brown"/>
    <x v="0"/>
    <x v="1"/>
    <n v="864.98"/>
    <n v="2"/>
    <n v="0.05"/>
    <d v="2025-03-11T00:00:00"/>
    <n v="410.87"/>
  </r>
  <r>
    <x v="18"/>
    <s v="David Brown"/>
    <x v="0"/>
    <x v="3"/>
    <n v="984.93"/>
    <n v="14"/>
    <n v="0.2"/>
    <d v="2025-03-17T00:00:00"/>
    <n v="275.77999999999997"/>
  </r>
  <r>
    <x v="5"/>
    <s v="David Brown"/>
    <x v="0"/>
    <x v="1"/>
    <n v="1493.49"/>
    <n v="18"/>
    <n v="0"/>
    <d v="2025-03-18T00:00:00"/>
    <n v="746.74"/>
  </r>
  <r>
    <x v="8"/>
    <s v="Linda Taylor"/>
    <x v="2"/>
    <x v="1"/>
    <n v="689.43"/>
    <n v="9"/>
    <n v="0.1"/>
    <d v="2025-03-20T00:00:00"/>
    <n v="310.24"/>
  </r>
  <r>
    <x v="11"/>
    <s v="Mary Wilson"/>
    <x v="2"/>
    <x v="1"/>
    <n v="682.24"/>
    <n v="1"/>
    <n v="0"/>
    <d v="2025-03-22T00:00:00"/>
    <n v="341.12"/>
  </r>
  <r>
    <x v="12"/>
    <s v="Michael Anderson"/>
    <x v="3"/>
    <x v="2"/>
    <n v="458.54"/>
    <n v="15"/>
    <n v="0.2"/>
    <d v="2025-03-25T00:00:00"/>
    <n v="91.71"/>
  </r>
  <r>
    <x v="8"/>
    <s v="Michael Anderson"/>
    <x v="2"/>
    <x v="3"/>
    <n v="1184.25"/>
    <n v="11"/>
    <n v="0.2"/>
    <d v="2025-03-26T00:00:00"/>
    <n v="331.59"/>
  </r>
  <r>
    <x v="5"/>
    <s v="James Davis"/>
    <x v="2"/>
    <x v="1"/>
    <n v="762.14"/>
    <n v="9"/>
    <n v="0"/>
    <d v="2025-03-27T00:00:00"/>
    <n v="381.07"/>
  </r>
  <r>
    <x v="4"/>
    <s v="Linda Taylor"/>
    <x v="3"/>
    <x v="0"/>
    <n v="750.71"/>
    <n v="10"/>
    <n v="0.15"/>
    <d v="2025-03-27T00:00:00"/>
    <n v="255.24"/>
  </r>
  <r>
    <x v="29"/>
    <s v="David Anderson"/>
    <x v="4"/>
    <x v="1"/>
    <n v="1456.94"/>
    <n v="14"/>
    <n v="0.05"/>
    <d v="2025-03-29T00:00:00"/>
    <n v="692.05"/>
  </r>
  <r>
    <x v="13"/>
    <s v="Emma Wilson"/>
    <x v="1"/>
    <x v="3"/>
    <n v="1093.3800000000001"/>
    <n v="17"/>
    <n v="0.1"/>
    <d v="2025-03-29T00:00:00"/>
    <n v="344.41"/>
  </r>
  <r>
    <x v="10"/>
    <s v="Sarah Anderson"/>
    <x v="0"/>
    <x v="1"/>
    <n v="934.27"/>
    <n v="8"/>
    <n v="0.15"/>
    <d v="2025-03-30T00:00:00"/>
    <n v="397.06"/>
  </r>
  <r>
    <x v="25"/>
    <s v="David Thomas"/>
    <x v="4"/>
    <x v="1"/>
    <n v="1465.35"/>
    <n v="8"/>
    <n v="0.2"/>
    <d v="2025-03-30T00:00:00"/>
    <n v="586.14"/>
  </r>
  <r>
    <x v="16"/>
    <s v="Robert Anderson"/>
    <x v="2"/>
    <x v="4"/>
    <n v="740.8"/>
    <n v="3"/>
    <n v="0"/>
    <d v="2025-04-02T00:00:00"/>
    <n v="333.36"/>
  </r>
  <r>
    <x v="19"/>
    <s v="Sarah Anderson"/>
    <x v="0"/>
    <x v="4"/>
    <n v="545.44000000000005"/>
    <n v="17"/>
    <n v="0"/>
    <d v="2025-04-05T00:00:00"/>
    <n v="245.45"/>
  </r>
  <r>
    <x v="9"/>
    <s v="David Thomas"/>
    <x v="1"/>
    <x v="0"/>
    <n v="997.61"/>
    <n v="8"/>
    <n v="0.05"/>
    <d v="2025-04-05T00:00:00"/>
    <n v="379.09"/>
  </r>
  <r>
    <x v="20"/>
    <s v="David Thomas"/>
    <x v="2"/>
    <x v="1"/>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EE134-3FFB-4E46-8E0A-EF753DC31EFD}"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9">
    <pivotField axis="axisRow" showAll="0" sortType="descending">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numFmtId="164" showAll="0"/>
    <pivotField showAll="0"/>
  </pivotFields>
  <rowFields count="1">
    <field x="0"/>
  </rowFields>
  <rowItems count="31">
    <i>
      <x v="14"/>
    </i>
    <i>
      <x v="27"/>
    </i>
    <i>
      <x v="6"/>
    </i>
    <i>
      <x v="7"/>
    </i>
    <i>
      <x v="25"/>
    </i>
    <i>
      <x v="20"/>
    </i>
    <i>
      <x v="2"/>
    </i>
    <i>
      <x v="11"/>
    </i>
    <i>
      <x v="29"/>
    </i>
    <i>
      <x v="3"/>
    </i>
    <i>
      <x v="23"/>
    </i>
    <i>
      <x v="13"/>
    </i>
    <i>
      <x v="24"/>
    </i>
    <i>
      <x v="4"/>
    </i>
    <i>
      <x/>
    </i>
    <i>
      <x v="8"/>
    </i>
    <i>
      <x v="1"/>
    </i>
    <i>
      <x v="22"/>
    </i>
    <i>
      <x v="28"/>
    </i>
    <i>
      <x v="17"/>
    </i>
    <i>
      <x v="18"/>
    </i>
    <i>
      <x v="21"/>
    </i>
    <i>
      <x v="19"/>
    </i>
    <i>
      <x v="9"/>
    </i>
    <i>
      <x v="12"/>
    </i>
    <i>
      <x v="26"/>
    </i>
    <i>
      <x v="10"/>
    </i>
    <i>
      <x v="16"/>
    </i>
    <i>
      <x v="15"/>
    </i>
    <i>
      <x v="5"/>
    </i>
    <i t="grand">
      <x/>
    </i>
  </rowItems>
  <colItems count="1">
    <i/>
  </colItems>
  <dataFields count="1">
    <dataField name="Sum of Sales" fld="4" baseField="0" baseItem="0"/>
  </dataFields>
  <conditionalFormats count="1">
    <conditionalFormat type="all" priority="1">
      <pivotAreas count="1">
        <pivotArea type="data" collapsedLevelsAreSubtotals="1" fieldPosition="0">
          <references count="2">
            <reference field="4294967294" count="1" selected="0">
              <x v="0"/>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9728A-B9C0-4E09-B644-5759F8D9B59B}"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0" firstHeaderRow="1" firstDataRow="2" firstDataCol="1"/>
  <pivotFields count="9">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6"/>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9"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A2" sqref="A2"/>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26" width="8.6640625" customWidth="1"/>
  </cols>
  <sheetData>
    <row r="1" spans="1:26" ht="14.4" x14ac:dyDescent="0.3">
      <c r="A1" s="3" t="s">
        <v>2</v>
      </c>
      <c r="B1" s="3" t="s">
        <v>3</v>
      </c>
      <c r="C1" s="3" t="s">
        <v>4</v>
      </c>
      <c r="D1" s="3" t="s">
        <v>5</v>
      </c>
      <c r="E1" s="7" t="s">
        <v>6</v>
      </c>
      <c r="F1" s="3" t="s">
        <v>7</v>
      </c>
      <c r="G1" s="3" t="s">
        <v>8</v>
      </c>
      <c r="H1" s="3" t="s">
        <v>9</v>
      </c>
      <c r="I1" s="7" t="s">
        <v>10</v>
      </c>
      <c r="J1" s="3"/>
      <c r="K1" s="3"/>
      <c r="L1" s="3"/>
      <c r="M1" s="3"/>
      <c r="N1" s="3"/>
      <c r="O1" s="3"/>
      <c r="P1" s="3"/>
      <c r="Q1" s="3"/>
      <c r="R1" s="3"/>
      <c r="S1" s="3"/>
      <c r="T1" s="3"/>
      <c r="U1" s="3"/>
      <c r="V1" s="3"/>
      <c r="W1" s="3"/>
      <c r="X1" s="3"/>
      <c r="Y1" s="3"/>
      <c r="Z1" s="3"/>
    </row>
    <row r="2" spans="1:26" ht="14.4" x14ac:dyDescent="0.3">
      <c r="A2" s="4" t="s">
        <v>11</v>
      </c>
      <c r="B2" s="4" t="s">
        <v>12</v>
      </c>
      <c r="C2" s="4" t="s">
        <v>13</v>
      </c>
      <c r="D2" s="4" t="s">
        <v>14</v>
      </c>
      <c r="E2" s="4">
        <v>1036.0899999999999</v>
      </c>
      <c r="F2" s="4">
        <v>4</v>
      </c>
      <c r="G2" s="4">
        <v>0.2</v>
      </c>
      <c r="H2" s="5">
        <v>45392</v>
      </c>
      <c r="I2" s="4">
        <v>331.55</v>
      </c>
    </row>
    <row r="3" spans="1:26" ht="14.4" x14ac:dyDescent="0.3">
      <c r="A3" s="4" t="s">
        <v>15</v>
      </c>
      <c r="B3" s="4" t="s">
        <v>16</v>
      </c>
      <c r="C3" s="4" t="s">
        <v>13</v>
      </c>
      <c r="D3" s="4" t="s">
        <v>17</v>
      </c>
      <c r="E3" s="4">
        <v>1101.28</v>
      </c>
      <c r="F3" s="4">
        <v>3</v>
      </c>
      <c r="G3" s="4">
        <v>0.2</v>
      </c>
      <c r="H3" s="5">
        <v>45393</v>
      </c>
      <c r="I3" s="4">
        <v>440.51</v>
      </c>
    </row>
    <row r="4" spans="1:26" ht="14.4" x14ac:dyDescent="0.3">
      <c r="A4" s="4" t="s">
        <v>18</v>
      </c>
      <c r="B4" s="4" t="s">
        <v>19</v>
      </c>
      <c r="C4" s="4" t="s">
        <v>20</v>
      </c>
      <c r="D4" s="4" t="s">
        <v>14</v>
      </c>
      <c r="E4" s="4">
        <v>713.34</v>
      </c>
      <c r="F4" s="4">
        <v>17</v>
      </c>
      <c r="G4" s="4">
        <v>0</v>
      </c>
      <c r="H4" s="5">
        <v>45396</v>
      </c>
      <c r="I4" s="4">
        <v>285.33999999999997</v>
      </c>
    </row>
    <row r="5" spans="1:26" ht="14.4" x14ac:dyDescent="0.3">
      <c r="A5" s="4" t="s">
        <v>21</v>
      </c>
      <c r="B5" s="4" t="s">
        <v>16</v>
      </c>
      <c r="C5" s="4" t="s">
        <v>22</v>
      </c>
      <c r="D5" s="4" t="s">
        <v>23</v>
      </c>
      <c r="E5" s="4">
        <v>760.93</v>
      </c>
      <c r="F5" s="4">
        <v>4</v>
      </c>
      <c r="G5" s="4">
        <v>0.15</v>
      </c>
      <c r="H5" s="5">
        <v>45396</v>
      </c>
      <c r="I5" s="4">
        <v>161.69999999999999</v>
      </c>
    </row>
    <row r="6" spans="1:26" ht="14.4" x14ac:dyDescent="0.3">
      <c r="A6" s="4" t="s">
        <v>24</v>
      </c>
      <c r="B6" s="4" t="s">
        <v>25</v>
      </c>
      <c r="C6" s="4" t="s">
        <v>26</v>
      </c>
      <c r="D6" s="4" t="s">
        <v>14</v>
      </c>
      <c r="E6" s="4">
        <v>847</v>
      </c>
      <c r="F6" s="4">
        <v>12</v>
      </c>
      <c r="G6" s="4">
        <v>0.2</v>
      </c>
      <c r="H6" s="5">
        <v>45397</v>
      </c>
      <c r="I6" s="4">
        <v>271.04000000000002</v>
      </c>
    </row>
    <row r="7" spans="1:26" ht="14.4" x14ac:dyDescent="0.3">
      <c r="A7" s="4" t="s">
        <v>27</v>
      </c>
      <c r="B7" s="4" t="s">
        <v>28</v>
      </c>
      <c r="C7" s="4" t="s">
        <v>26</v>
      </c>
      <c r="D7" s="4" t="s">
        <v>29</v>
      </c>
      <c r="E7" s="4">
        <v>965.64</v>
      </c>
      <c r="F7" s="4">
        <v>8</v>
      </c>
      <c r="G7" s="4">
        <v>0.1</v>
      </c>
      <c r="H7" s="5">
        <v>45398</v>
      </c>
      <c r="I7" s="4">
        <v>304.18</v>
      </c>
    </row>
    <row r="8" spans="1:26" ht="14.4" x14ac:dyDescent="0.3">
      <c r="A8" s="4" t="s">
        <v>30</v>
      </c>
      <c r="B8" s="4" t="s">
        <v>31</v>
      </c>
      <c r="C8" s="4" t="s">
        <v>13</v>
      </c>
      <c r="D8" s="4" t="s">
        <v>23</v>
      </c>
      <c r="E8" s="4">
        <v>1317.53</v>
      </c>
      <c r="F8" s="4">
        <v>12</v>
      </c>
      <c r="G8" s="4">
        <v>0.05</v>
      </c>
      <c r="H8" s="5">
        <v>45398</v>
      </c>
      <c r="I8" s="4">
        <v>312.91000000000003</v>
      </c>
    </row>
    <row r="9" spans="1:26" ht="14.4" x14ac:dyDescent="0.3">
      <c r="A9" s="4" t="s">
        <v>32</v>
      </c>
      <c r="B9" s="4" t="s">
        <v>33</v>
      </c>
      <c r="C9" s="4" t="s">
        <v>20</v>
      </c>
      <c r="D9" s="4" t="s">
        <v>29</v>
      </c>
      <c r="E9" s="4">
        <v>1074.47</v>
      </c>
      <c r="F9" s="4">
        <v>6</v>
      </c>
      <c r="G9" s="4">
        <v>0.2</v>
      </c>
      <c r="H9" s="5">
        <v>45401</v>
      </c>
      <c r="I9" s="4">
        <v>300.85000000000002</v>
      </c>
    </row>
    <row r="10" spans="1:26" ht="14.4" x14ac:dyDescent="0.3">
      <c r="A10" s="4" t="s">
        <v>34</v>
      </c>
      <c r="B10" s="4" t="s">
        <v>35</v>
      </c>
      <c r="C10" s="4" t="s">
        <v>36</v>
      </c>
      <c r="D10" s="4" t="s">
        <v>14</v>
      </c>
      <c r="E10" s="4">
        <v>501.54</v>
      </c>
      <c r="F10" s="4">
        <v>11</v>
      </c>
      <c r="G10" s="4">
        <v>0.05</v>
      </c>
      <c r="H10" s="5">
        <v>45401</v>
      </c>
      <c r="I10" s="4">
        <v>190.59</v>
      </c>
    </row>
    <row r="11" spans="1:26" ht="14.4" x14ac:dyDescent="0.3">
      <c r="A11" s="4" t="s">
        <v>37</v>
      </c>
      <c r="B11" s="4" t="s">
        <v>38</v>
      </c>
      <c r="C11" s="4" t="s">
        <v>36</v>
      </c>
      <c r="D11" s="4" t="s">
        <v>17</v>
      </c>
      <c r="E11" s="4">
        <v>737.31</v>
      </c>
      <c r="F11" s="4">
        <v>2</v>
      </c>
      <c r="G11" s="4">
        <v>0.05</v>
      </c>
      <c r="H11" s="5">
        <v>45401</v>
      </c>
      <c r="I11" s="4">
        <v>350.22</v>
      </c>
    </row>
    <row r="12" spans="1:26" ht="14.4" x14ac:dyDescent="0.3">
      <c r="A12" s="4" t="s">
        <v>39</v>
      </c>
      <c r="B12" s="4" t="s">
        <v>40</v>
      </c>
      <c r="C12" s="4" t="s">
        <v>13</v>
      </c>
      <c r="D12" s="4" t="s">
        <v>41</v>
      </c>
      <c r="E12" s="4">
        <v>1572.82</v>
      </c>
      <c r="F12" s="4">
        <v>6</v>
      </c>
      <c r="G12" s="4">
        <v>0.05</v>
      </c>
      <c r="H12" s="5">
        <v>45402</v>
      </c>
      <c r="I12" s="4">
        <v>672.38</v>
      </c>
    </row>
    <row r="13" spans="1:26" ht="14.4" x14ac:dyDescent="0.3">
      <c r="A13" s="4" t="s">
        <v>39</v>
      </c>
      <c r="B13" s="4" t="s">
        <v>38</v>
      </c>
      <c r="C13" s="4" t="s">
        <v>36</v>
      </c>
      <c r="D13" s="4" t="s">
        <v>14</v>
      </c>
      <c r="E13" s="4">
        <v>1343.13</v>
      </c>
      <c r="F13" s="4">
        <v>14</v>
      </c>
      <c r="G13" s="4">
        <v>0.15</v>
      </c>
      <c r="H13" s="5">
        <v>45404</v>
      </c>
      <c r="I13" s="4">
        <v>456.66</v>
      </c>
    </row>
    <row r="14" spans="1:26" ht="14.4" x14ac:dyDescent="0.3">
      <c r="A14" s="4" t="s">
        <v>27</v>
      </c>
      <c r="B14" s="4" t="s">
        <v>28</v>
      </c>
      <c r="C14" s="4" t="s">
        <v>36</v>
      </c>
      <c r="D14" s="4" t="s">
        <v>14</v>
      </c>
      <c r="E14" s="4">
        <v>1191.58</v>
      </c>
      <c r="F14" s="4">
        <v>14</v>
      </c>
      <c r="G14" s="4">
        <v>0.05</v>
      </c>
      <c r="H14" s="5">
        <v>45406</v>
      </c>
      <c r="I14" s="4">
        <v>452.8</v>
      </c>
    </row>
    <row r="15" spans="1:26" ht="14.4" x14ac:dyDescent="0.3">
      <c r="A15" s="4" t="s">
        <v>42</v>
      </c>
      <c r="B15" s="4" t="s">
        <v>16</v>
      </c>
      <c r="C15" s="4" t="s">
        <v>13</v>
      </c>
      <c r="D15" s="4" t="s">
        <v>29</v>
      </c>
      <c r="E15" s="4">
        <v>822.28</v>
      </c>
      <c r="F15" s="4">
        <v>7</v>
      </c>
      <c r="G15" s="4">
        <v>0.05</v>
      </c>
      <c r="H15" s="5">
        <v>45406</v>
      </c>
      <c r="I15" s="4">
        <v>273.41000000000003</v>
      </c>
    </row>
    <row r="16" spans="1:26" ht="14.4" x14ac:dyDescent="0.3">
      <c r="A16" s="4" t="s">
        <v>43</v>
      </c>
      <c r="B16" s="4" t="s">
        <v>44</v>
      </c>
      <c r="C16" s="4" t="s">
        <v>26</v>
      </c>
      <c r="D16" s="4" t="s">
        <v>29</v>
      </c>
      <c r="E16" s="4">
        <v>521.66999999999996</v>
      </c>
      <c r="F16" s="4">
        <v>15</v>
      </c>
      <c r="G16" s="4">
        <v>0.15</v>
      </c>
      <c r="H16" s="5">
        <v>45409</v>
      </c>
      <c r="I16" s="4">
        <v>155.19999999999999</v>
      </c>
    </row>
    <row r="17" spans="1:9" ht="14.4" x14ac:dyDescent="0.3">
      <c r="A17" s="4" t="s">
        <v>21</v>
      </c>
      <c r="B17" s="4" t="s">
        <v>45</v>
      </c>
      <c r="C17" s="4" t="s">
        <v>22</v>
      </c>
      <c r="D17" s="4" t="s">
        <v>23</v>
      </c>
      <c r="E17" s="4">
        <v>1502.93</v>
      </c>
      <c r="F17" s="4">
        <v>14</v>
      </c>
      <c r="G17" s="4">
        <v>0.2</v>
      </c>
      <c r="H17" s="5">
        <v>45410</v>
      </c>
      <c r="I17" s="4">
        <v>300.58999999999997</v>
      </c>
    </row>
    <row r="18" spans="1:9" ht="14.4" x14ac:dyDescent="0.3">
      <c r="A18" s="4" t="s">
        <v>46</v>
      </c>
      <c r="B18" s="4" t="s">
        <v>16</v>
      </c>
      <c r="C18" s="4" t="s">
        <v>22</v>
      </c>
      <c r="D18" s="4" t="s">
        <v>14</v>
      </c>
      <c r="E18" s="4">
        <v>877.58</v>
      </c>
      <c r="F18" s="4">
        <v>10</v>
      </c>
      <c r="G18" s="4">
        <v>0.15</v>
      </c>
      <c r="H18" s="5">
        <v>45411</v>
      </c>
      <c r="I18" s="4">
        <v>298.38</v>
      </c>
    </row>
    <row r="19" spans="1:9" ht="14.4" x14ac:dyDescent="0.3">
      <c r="A19" s="4" t="s">
        <v>30</v>
      </c>
      <c r="B19" s="4" t="s">
        <v>47</v>
      </c>
      <c r="C19" s="4" t="s">
        <v>13</v>
      </c>
      <c r="D19" s="4" t="s">
        <v>14</v>
      </c>
      <c r="E19" s="4">
        <v>636.70000000000005</v>
      </c>
      <c r="F19" s="4">
        <v>4</v>
      </c>
      <c r="G19" s="4">
        <v>0.2</v>
      </c>
      <c r="H19" s="5">
        <v>45411</v>
      </c>
      <c r="I19" s="4">
        <v>203.74</v>
      </c>
    </row>
    <row r="20" spans="1:9" ht="14.4" x14ac:dyDescent="0.3">
      <c r="A20" s="4" t="s">
        <v>48</v>
      </c>
      <c r="B20" s="4" t="s">
        <v>49</v>
      </c>
      <c r="C20" s="4" t="s">
        <v>13</v>
      </c>
      <c r="D20" s="4" t="s">
        <v>14</v>
      </c>
      <c r="E20" s="4">
        <v>1506.14</v>
      </c>
      <c r="F20" s="4">
        <v>13</v>
      </c>
      <c r="G20" s="4">
        <v>0.2</v>
      </c>
      <c r="H20" s="5">
        <v>45412</v>
      </c>
      <c r="I20" s="4">
        <v>481.96</v>
      </c>
    </row>
    <row r="21" spans="1:9" ht="15.75" customHeight="1" x14ac:dyDescent="0.3">
      <c r="A21" s="4" t="s">
        <v>32</v>
      </c>
      <c r="B21" s="4" t="s">
        <v>33</v>
      </c>
      <c r="C21" s="4" t="s">
        <v>36</v>
      </c>
      <c r="D21" s="4" t="s">
        <v>23</v>
      </c>
      <c r="E21" s="4">
        <v>645.02</v>
      </c>
      <c r="F21" s="4">
        <v>4</v>
      </c>
      <c r="G21" s="4">
        <v>0</v>
      </c>
      <c r="H21" s="5">
        <v>45414</v>
      </c>
      <c r="I21" s="4">
        <v>161.26</v>
      </c>
    </row>
    <row r="22" spans="1:9" ht="15.75" customHeight="1" x14ac:dyDescent="0.3">
      <c r="A22" s="4" t="s">
        <v>27</v>
      </c>
      <c r="B22" s="4" t="s">
        <v>50</v>
      </c>
      <c r="C22" s="4" t="s">
        <v>22</v>
      </c>
      <c r="D22" s="4" t="s">
        <v>17</v>
      </c>
      <c r="E22" s="4">
        <v>953.3</v>
      </c>
      <c r="F22" s="4">
        <v>11</v>
      </c>
      <c r="G22" s="4">
        <v>0</v>
      </c>
      <c r="H22" s="5">
        <v>45415</v>
      </c>
      <c r="I22" s="4">
        <v>476.65</v>
      </c>
    </row>
    <row r="23" spans="1:9" ht="15.75" customHeight="1" x14ac:dyDescent="0.3">
      <c r="A23" s="4" t="s">
        <v>51</v>
      </c>
      <c r="B23" s="4" t="s">
        <v>16</v>
      </c>
      <c r="C23" s="4" t="s">
        <v>26</v>
      </c>
      <c r="D23" s="4" t="s">
        <v>23</v>
      </c>
      <c r="E23" s="4">
        <v>388.56</v>
      </c>
      <c r="F23" s="4">
        <v>14</v>
      </c>
      <c r="G23" s="4">
        <v>0.15</v>
      </c>
      <c r="H23" s="5">
        <v>45416</v>
      </c>
      <c r="I23" s="4">
        <v>82.57</v>
      </c>
    </row>
    <row r="24" spans="1:9" ht="15.75" customHeight="1" x14ac:dyDescent="0.3">
      <c r="A24" s="4" t="s">
        <v>11</v>
      </c>
      <c r="B24" s="4" t="s">
        <v>33</v>
      </c>
      <c r="C24" s="4" t="s">
        <v>13</v>
      </c>
      <c r="D24" s="4" t="s">
        <v>14</v>
      </c>
      <c r="E24" s="4">
        <v>743.17</v>
      </c>
      <c r="F24" s="4">
        <v>9</v>
      </c>
      <c r="G24" s="4">
        <v>0</v>
      </c>
      <c r="H24" s="5">
        <v>45416</v>
      </c>
      <c r="I24" s="4">
        <v>297.27</v>
      </c>
    </row>
    <row r="25" spans="1:9" ht="15.75" customHeight="1" x14ac:dyDescent="0.3">
      <c r="A25" s="4" t="s">
        <v>42</v>
      </c>
      <c r="B25" s="4" t="s">
        <v>33</v>
      </c>
      <c r="C25" s="4" t="s">
        <v>36</v>
      </c>
      <c r="D25" s="4" t="s">
        <v>23</v>
      </c>
      <c r="E25" s="4">
        <v>706.37</v>
      </c>
      <c r="F25" s="4">
        <v>6</v>
      </c>
      <c r="G25" s="4">
        <v>0</v>
      </c>
      <c r="H25" s="5">
        <v>45416</v>
      </c>
      <c r="I25" s="4">
        <v>176.59</v>
      </c>
    </row>
    <row r="26" spans="1:9" ht="15.75" customHeight="1" x14ac:dyDescent="0.3">
      <c r="A26" s="4" t="s">
        <v>15</v>
      </c>
      <c r="B26" s="4" t="s">
        <v>33</v>
      </c>
      <c r="C26" s="4" t="s">
        <v>36</v>
      </c>
      <c r="D26" s="4" t="s">
        <v>41</v>
      </c>
      <c r="E26" s="4">
        <v>925.31</v>
      </c>
      <c r="F26" s="4">
        <v>8</v>
      </c>
      <c r="G26" s="4">
        <v>0.1</v>
      </c>
      <c r="H26" s="5">
        <v>45418</v>
      </c>
      <c r="I26" s="4">
        <v>374.75</v>
      </c>
    </row>
    <row r="27" spans="1:9" ht="15.75" customHeight="1" x14ac:dyDescent="0.3">
      <c r="A27" s="4" t="s">
        <v>37</v>
      </c>
      <c r="B27" s="4" t="s">
        <v>52</v>
      </c>
      <c r="C27" s="4" t="s">
        <v>22</v>
      </c>
      <c r="D27" s="4" t="s">
        <v>23</v>
      </c>
      <c r="E27" s="4">
        <v>1173.1199999999999</v>
      </c>
      <c r="F27" s="4">
        <v>18</v>
      </c>
      <c r="G27" s="4">
        <v>0</v>
      </c>
      <c r="H27" s="5">
        <v>45418</v>
      </c>
      <c r="I27" s="4">
        <v>293.27999999999997</v>
      </c>
    </row>
    <row r="28" spans="1:9" ht="15.75" customHeight="1" x14ac:dyDescent="0.3">
      <c r="A28" s="4" t="s">
        <v>24</v>
      </c>
      <c r="B28" s="4" t="s">
        <v>53</v>
      </c>
      <c r="C28" s="4" t="s">
        <v>26</v>
      </c>
      <c r="D28" s="4" t="s">
        <v>29</v>
      </c>
      <c r="E28" s="4">
        <v>675.54</v>
      </c>
      <c r="F28" s="4">
        <v>17</v>
      </c>
      <c r="G28" s="4">
        <v>0</v>
      </c>
      <c r="H28" s="5">
        <v>45420</v>
      </c>
      <c r="I28" s="4">
        <v>236.44</v>
      </c>
    </row>
    <row r="29" spans="1:9" ht="15.75" customHeight="1" x14ac:dyDescent="0.3">
      <c r="A29" s="4" t="s">
        <v>27</v>
      </c>
      <c r="B29" s="4" t="s">
        <v>16</v>
      </c>
      <c r="C29" s="4" t="s">
        <v>36</v>
      </c>
      <c r="D29" s="4" t="s">
        <v>14</v>
      </c>
      <c r="E29" s="4">
        <v>939.09</v>
      </c>
      <c r="F29" s="4">
        <v>2</v>
      </c>
      <c r="G29" s="4">
        <v>0.05</v>
      </c>
      <c r="H29" s="5">
        <v>45422</v>
      </c>
      <c r="I29" s="4">
        <v>356.85</v>
      </c>
    </row>
    <row r="30" spans="1:9" ht="15.75" customHeight="1" x14ac:dyDescent="0.3">
      <c r="A30" s="4" t="s">
        <v>54</v>
      </c>
      <c r="B30" s="4" t="s">
        <v>55</v>
      </c>
      <c r="C30" s="4" t="s">
        <v>20</v>
      </c>
      <c r="D30" s="4" t="s">
        <v>41</v>
      </c>
      <c r="E30" s="4">
        <v>983.34</v>
      </c>
      <c r="F30" s="4">
        <v>19</v>
      </c>
      <c r="G30" s="4">
        <v>0.1</v>
      </c>
      <c r="H30" s="5">
        <v>45426</v>
      </c>
      <c r="I30" s="4">
        <v>398.25</v>
      </c>
    </row>
    <row r="31" spans="1:9" ht="15.75" customHeight="1" x14ac:dyDescent="0.3">
      <c r="A31" s="4" t="s">
        <v>54</v>
      </c>
      <c r="B31" s="4" t="s">
        <v>25</v>
      </c>
      <c r="C31" s="4" t="s">
        <v>22</v>
      </c>
      <c r="D31" s="4" t="s">
        <v>23</v>
      </c>
      <c r="E31" s="4">
        <v>801.21</v>
      </c>
      <c r="F31" s="4">
        <v>3</v>
      </c>
      <c r="G31" s="4">
        <v>0.2</v>
      </c>
      <c r="H31" s="5">
        <v>45426</v>
      </c>
      <c r="I31" s="4">
        <v>160.24</v>
      </c>
    </row>
    <row r="32" spans="1:9" ht="15.75" customHeight="1" x14ac:dyDescent="0.3">
      <c r="A32" s="4" t="s">
        <v>56</v>
      </c>
      <c r="B32" s="4" t="s">
        <v>57</v>
      </c>
      <c r="C32" s="4" t="s">
        <v>26</v>
      </c>
      <c r="D32" s="4" t="s">
        <v>23</v>
      </c>
      <c r="E32" s="4">
        <v>1450.71</v>
      </c>
      <c r="F32" s="4">
        <v>5</v>
      </c>
      <c r="G32" s="4">
        <v>0.1</v>
      </c>
      <c r="H32" s="5">
        <v>45427</v>
      </c>
      <c r="I32" s="4">
        <v>326.41000000000003</v>
      </c>
    </row>
    <row r="33" spans="1:9" ht="15.75" customHeight="1" x14ac:dyDescent="0.3">
      <c r="A33" s="4" t="s">
        <v>51</v>
      </c>
      <c r="B33" s="4" t="s">
        <v>58</v>
      </c>
      <c r="C33" s="4" t="s">
        <v>36</v>
      </c>
      <c r="D33" s="4" t="s">
        <v>14</v>
      </c>
      <c r="E33" s="4">
        <v>1023.21</v>
      </c>
      <c r="F33" s="4">
        <v>18</v>
      </c>
      <c r="G33" s="4">
        <v>0.05</v>
      </c>
      <c r="H33" s="5">
        <v>45428</v>
      </c>
      <c r="I33" s="4">
        <v>388.82</v>
      </c>
    </row>
    <row r="34" spans="1:9" ht="15.75" customHeight="1" x14ac:dyDescent="0.3">
      <c r="A34" s="4" t="s">
        <v>30</v>
      </c>
      <c r="B34" s="4" t="s">
        <v>49</v>
      </c>
      <c r="C34" s="4" t="s">
        <v>13</v>
      </c>
      <c r="D34" s="4" t="s">
        <v>29</v>
      </c>
      <c r="E34" s="4">
        <v>853.72</v>
      </c>
      <c r="F34" s="4">
        <v>5</v>
      </c>
      <c r="G34" s="4">
        <v>0.15</v>
      </c>
      <c r="H34" s="5">
        <v>45428</v>
      </c>
      <c r="I34" s="4">
        <v>253.98</v>
      </c>
    </row>
    <row r="35" spans="1:9" ht="15.75" customHeight="1" x14ac:dyDescent="0.3">
      <c r="A35" s="4" t="s">
        <v>59</v>
      </c>
      <c r="B35" s="4" t="s">
        <v>45</v>
      </c>
      <c r="C35" s="4" t="s">
        <v>22</v>
      </c>
      <c r="D35" s="4" t="s">
        <v>23</v>
      </c>
      <c r="E35" s="4">
        <v>967.89</v>
      </c>
      <c r="F35" s="4">
        <v>10</v>
      </c>
      <c r="G35" s="4">
        <v>0.1</v>
      </c>
      <c r="H35" s="5">
        <v>45429</v>
      </c>
      <c r="I35" s="4">
        <v>217.78</v>
      </c>
    </row>
    <row r="36" spans="1:9" ht="15.75" customHeight="1" x14ac:dyDescent="0.3">
      <c r="A36" s="4" t="s">
        <v>60</v>
      </c>
      <c r="B36" s="4" t="s">
        <v>55</v>
      </c>
      <c r="C36" s="4" t="s">
        <v>26</v>
      </c>
      <c r="D36" s="4" t="s">
        <v>41</v>
      </c>
      <c r="E36" s="4">
        <v>1200.9000000000001</v>
      </c>
      <c r="F36" s="4">
        <v>14</v>
      </c>
      <c r="G36" s="4">
        <v>0.05</v>
      </c>
      <c r="H36" s="5">
        <v>45429</v>
      </c>
      <c r="I36" s="4">
        <v>513.38</v>
      </c>
    </row>
    <row r="37" spans="1:9" ht="15.75" customHeight="1" x14ac:dyDescent="0.3">
      <c r="A37" s="4" t="s">
        <v>15</v>
      </c>
      <c r="B37" s="4" t="s">
        <v>28</v>
      </c>
      <c r="C37" s="4" t="s">
        <v>13</v>
      </c>
      <c r="D37" s="4" t="s">
        <v>14</v>
      </c>
      <c r="E37" s="4">
        <v>472.38</v>
      </c>
      <c r="F37" s="4">
        <v>12</v>
      </c>
      <c r="G37" s="4">
        <v>0.2</v>
      </c>
      <c r="H37" s="5">
        <v>45429</v>
      </c>
      <c r="I37" s="4">
        <v>151.16</v>
      </c>
    </row>
    <row r="38" spans="1:9" ht="15.75" customHeight="1" x14ac:dyDescent="0.3">
      <c r="A38" s="4" t="s">
        <v>11</v>
      </c>
      <c r="B38" s="4" t="s">
        <v>57</v>
      </c>
      <c r="C38" s="4" t="s">
        <v>20</v>
      </c>
      <c r="D38" s="4" t="s">
        <v>41</v>
      </c>
      <c r="E38" s="4">
        <v>840.92</v>
      </c>
      <c r="F38" s="4">
        <v>9</v>
      </c>
      <c r="G38" s="4">
        <v>0.05</v>
      </c>
      <c r="H38" s="5">
        <v>45429</v>
      </c>
      <c r="I38" s="4">
        <v>359.49</v>
      </c>
    </row>
    <row r="39" spans="1:9" ht="15.75" customHeight="1" x14ac:dyDescent="0.3">
      <c r="A39" s="4" t="s">
        <v>54</v>
      </c>
      <c r="B39" s="4" t="s">
        <v>50</v>
      </c>
      <c r="C39" s="4" t="s">
        <v>36</v>
      </c>
      <c r="D39" s="4" t="s">
        <v>29</v>
      </c>
      <c r="E39" s="4">
        <v>1410.06</v>
      </c>
      <c r="F39" s="4">
        <v>11</v>
      </c>
      <c r="G39" s="4">
        <v>0.05</v>
      </c>
      <c r="H39" s="5">
        <v>45434</v>
      </c>
      <c r="I39" s="4">
        <v>468.84</v>
      </c>
    </row>
    <row r="40" spans="1:9" ht="15.75" customHeight="1" x14ac:dyDescent="0.3">
      <c r="A40" s="4" t="s">
        <v>46</v>
      </c>
      <c r="B40" s="4" t="s">
        <v>61</v>
      </c>
      <c r="C40" s="4" t="s">
        <v>36</v>
      </c>
      <c r="D40" s="4" t="s">
        <v>29</v>
      </c>
      <c r="E40" s="4">
        <v>773.09</v>
      </c>
      <c r="F40" s="4">
        <v>13</v>
      </c>
      <c r="G40" s="4">
        <v>0.15</v>
      </c>
      <c r="H40" s="5">
        <v>45434</v>
      </c>
      <c r="I40" s="4">
        <v>229.99</v>
      </c>
    </row>
    <row r="41" spans="1:9" ht="15.75" customHeight="1" x14ac:dyDescent="0.3">
      <c r="A41" s="4" t="s">
        <v>62</v>
      </c>
      <c r="B41" s="4" t="s">
        <v>63</v>
      </c>
      <c r="C41" s="4" t="s">
        <v>20</v>
      </c>
      <c r="D41" s="4" t="s">
        <v>14</v>
      </c>
      <c r="E41" s="4">
        <v>580.42999999999995</v>
      </c>
      <c r="F41" s="4">
        <v>19</v>
      </c>
      <c r="G41" s="4">
        <v>0.15</v>
      </c>
      <c r="H41" s="5">
        <v>45435</v>
      </c>
      <c r="I41" s="4">
        <v>197.35</v>
      </c>
    </row>
    <row r="42" spans="1:9" ht="15.75" customHeight="1" x14ac:dyDescent="0.3">
      <c r="A42" s="4" t="s">
        <v>21</v>
      </c>
      <c r="B42" s="4" t="s">
        <v>44</v>
      </c>
      <c r="C42" s="4" t="s">
        <v>22</v>
      </c>
      <c r="D42" s="4" t="s">
        <v>14</v>
      </c>
      <c r="E42" s="4">
        <v>1151.21</v>
      </c>
      <c r="F42" s="4">
        <v>15</v>
      </c>
      <c r="G42" s="4">
        <v>0.1</v>
      </c>
      <c r="H42" s="5">
        <v>45445</v>
      </c>
      <c r="I42" s="4">
        <v>414.44</v>
      </c>
    </row>
    <row r="43" spans="1:9" ht="15.75" customHeight="1" x14ac:dyDescent="0.3">
      <c r="A43" s="4" t="s">
        <v>54</v>
      </c>
      <c r="B43" s="4" t="s">
        <v>25</v>
      </c>
      <c r="C43" s="4" t="s">
        <v>36</v>
      </c>
      <c r="D43" s="4" t="s">
        <v>41</v>
      </c>
      <c r="E43" s="4">
        <v>1025.98</v>
      </c>
      <c r="F43" s="4">
        <v>5</v>
      </c>
      <c r="G43" s="4">
        <v>0.2</v>
      </c>
      <c r="H43" s="5">
        <v>45447</v>
      </c>
      <c r="I43" s="4">
        <v>369.35</v>
      </c>
    </row>
    <row r="44" spans="1:9" ht="15.75" customHeight="1" x14ac:dyDescent="0.3">
      <c r="A44" s="4" t="s">
        <v>42</v>
      </c>
      <c r="B44" s="4" t="s">
        <v>58</v>
      </c>
      <c r="C44" s="4" t="s">
        <v>20</v>
      </c>
      <c r="D44" s="4" t="s">
        <v>41</v>
      </c>
      <c r="E44" s="4">
        <v>556.41999999999996</v>
      </c>
      <c r="F44" s="4">
        <v>11</v>
      </c>
      <c r="G44" s="4">
        <v>0.15</v>
      </c>
      <c r="H44" s="5">
        <v>45447</v>
      </c>
      <c r="I44" s="4">
        <v>212.83</v>
      </c>
    </row>
    <row r="45" spans="1:9" ht="15.75" customHeight="1" x14ac:dyDescent="0.3">
      <c r="A45" s="4" t="s">
        <v>59</v>
      </c>
      <c r="B45" s="4" t="s">
        <v>25</v>
      </c>
      <c r="C45" s="4" t="s">
        <v>36</v>
      </c>
      <c r="D45" s="4" t="s">
        <v>14</v>
      </c>
      <c r="E45" s="4">
        <v>840.85</v>
      </c>
      <c r="F45" s="4">
        <v>19</v>
      </c>
      <c r="G45" s="4">
        <v>0.1</v>
      </c>
      <c r="H45" s="5">
        <v>45448</v>
      </c>
      <c r="I45" s="4">
        <v>302.70999999999998</v>
      </c>
    </row>
    <row r="46" spans="1:9" ht="15.75" customHeight="1" x14ac:dyDescent="0.3">
      <c r="A46" s="4" t="s">
        <v>32</v>
      </c>
      <c r="B46" s="4" t="s">
        <v>63</v>
      </c>
      <c r="C46" s="4" t="s">
        <v>26</v>
      </c>
      <c r="D46" s="4" t="s">
        <v>29</v>
      </c>
      <c r="E46" s="4">
        <v>1227.25</v>
      </c>
      <c r="F46" s="4">
        <v>12</v>
      </c>
      <c r="G46" s="4">
        <v>0.15</v>
      </c>
      <c r="H46" s="5">
        <v>45448</v>
      </c>
      <c r="I46" s="4">
        <v>365.11</v>
      </c>
    </row>
    <row r="47" spans="1:9" ht="15.75" customHeight="1" x14ac:dyDescent="0.3">
      <c r="A47" s="4" t="s">
        <v>18</v>
      </c>
      <c r="B47" s="4" t="s">
        <v>64</v>
      </c>
      <c r="C47" s="4" t="s">
        <v>36</v>
      </c>
      <c r="D47" s="4" t="s">
        <v>23</v>
      </c>
      <c r="E47" s="4">
        <v>856.7</v>
      </c>
      <c r="F47" s="4">
        <v>2</v>
      </c>
      <c r="G47" s="4">
        <v>0</v>
      </c>
      <c r="H47" s="5">
        <v>45449</v>
      </c>
      <c r="I47" s="4">
        <v>214.18</v>
      </c>
    </row>
    <row r="48" spans="1:9" ht="15.75" customHeight="1" x14ac:dyDescent="0.3">
      <c r="A48" s="4" t="s">
        <v>56</v>
      </c>
      <c r="B48" s="4" t="s">
        <v>58</v>
      </c>
      <c r="C48" s="4" t="s">
        <v>36</v>
      </c>
      <c r="D48" s="4" t="s">
        <v>41</v>
      </c>
      <c r="E48" s="4">
        <v>1225.42</v>
      </c>
      <c r="F48" s="4">
        <v>8</v>
      </c>
      <c r="G48" s="4">
        <v>0.15</v>
      </c>
      <c r="H48" s="5">
        <v>45449</v>
      </c>
      <c r="I48" s="4">
        <v>468.72</v>
      </c>
    </row>
    <row r="49" spans="1:9" ht="15.75" customHeight="1" x14ac:dyDescent="0.3">
      <c r="A49" s="4" t="s">
        <v>65</v>
      </c>
      <c r="B49" s="4" t="s">
        <v>33</v>
      </c>
      <c r="C49" s="4" t="s">
        <v>26</v>
      </c>
      <c r="D49" s="4" t="s">
        <v>41</v>
      </c>
      <c r="E49" s="4">
        <v>1001.57</v>
      </c>
      <c r="F49" s="4">
        <v>12</v>
      </c>
      <c r="G49" s="4">
        <v>0</v>
      </c>
      <c r="H49" s="5">
        <v>45450</v>
      </c>
      <c r="I49" s="4">
        <v>450.71</v>
      </c>
    </row>
    <row r="50" spans="1:9" ht="15.75" customHeight="1" x14ac:dyDescent="0.3">
      <c r="A50" s="4" t="s">
        <v>59</v>
      </c>
      <c r="B50" s="4" t="s">
        <v>28</v>
      </c>
      <c r="C50" s="4" t="s">
        <v>20</v>
      </c>
      <c r="D50" s="4" t="s">
        <v>29</v>
      </c>
      <c r="E50" s="4">
        <v>1186.8499999999999</v>
      </c>
      <c r="F50" s="4">
        <v>19</v>
      </c>
      <c r="G50" s="4">
        <v>0.2</v>
      </c>
      <c r="H50" s="5">
        <v>45451</v>
      </c>
      <c r="I50" s="4">
        <v>332.32</v>
      </c>
    </row>
    <row r="51" spans="1:9" ht="15.75" customHeight="1" x14ac:dyDescent="0.3">
      <c r="A51" s="4" t="s">
        <v>46</v>
      </c>
      <c r="B51" s="4" t="s">
        <v>53</v>
      </c>
      <c r="C51" s="4" t="s">
        <v>22</v>
      </c>
      <c r="D51" s="4" t="s">
        <v>23</v>
      </c>
      <c r="E51" s="4">
        <v>775.45</v>
      </c>
      <c r="F51" s="4">
        <v>6</v>
      </c>
      <c r="G51" s="4">
        <v>0.1</v>
      </c>
      <c r="H51" s="5">
        <v>45457</v>
      </c>
      <c r="I51" s="4">
        <v>174.48</v>
      </c>
    </row>
    <row r="52" spans="1:9" ht="15.75" customHeight="1" x14ac:dyDescent="0.3">
      <c r="A52" s="4" t="s">
        <v>27</v>
      </c>
      <c r="B52" s="4" t="s">
        <v>35</v>
      </c>
      <c r="C52" s="4" t="s">
        <v>22</v>
      </c>
      <c r="D52" s="4" t="s">
        <v>23</v>
      </c>
      <c r="E52" s="4">
        <v>1021.47</v>
      </c>
      <c r="F52" s="4">
        <v>6</v>
      </c>
      <c r="G52" s="4">
        <v>0.05</v>
      </c>
      <c r="H52" s="5">
        <v>45461</v>
      </c>
      <c r="I52" s="4">
        <v>242.6</v>
      </c>
    </row>
    <row r="53" spans="1:9" ht="15.75" customHeight="1" x14ac:dyDescent="0.3">
      <c r="A53" s="4" t="s">
        <v>60</v>
      </c>
      <c r="B53" s="4" t="s">
        <v>25</v>
      </c>
      <c r="C53" s="4" t="s">
        <v>22</v>
      </c>
      <c r="D53" s="4" t="s">
        <v>17</v>
      </c>
      <c r="E53" s="4">
        <v>1226.6199999999999</v>
      </c>
      <c r="F53" s="4">
        <v>7</v>
      </c>
      <c r="G53" s="4">
        <v>0.1</v>
      </c>
      <c r="H53" s="5">
        <v>45463</v>
      </c>
      <c r="I53" s="4">
        <v>551.98</v>
      </c>
    </row>
    <row r="54" spans="1:9" ht="15.75" customHeight="1" x14ac:dyDescent="0.3">
      <c r="A54" s="4" t="s">
        <v>24</v>
      </c>
      <c r="B54" s="4" t="s">
        <v>66</v>
      </c>
      <c r="C54" s="4" t="s">
        <v>22</v>
      </c>
      <c r="D54" s="4" t="s">
        <v>29</v>
      </c>
      <c r="E54" s="4">
        <v>1086.93</v>
      </c>
      <c r="F54" s="4">
        <v>2</v>
      </c>
      <c r="G54" s="4">
        <v>0</v>
      </c>
      <c r="H54" s="5">
        <v>45464</v>
      </c>
      <c r="I54" s="4">
        <v>380.43</v>
      </c>
    </row>
    <row r="55" spans="1:9" ht="15.75" customHeight="1" x14ac:dyDescent="0.3">
      <c r="A55" s="4" t="s">
        <v>67</v>
      </c>
      <c r="B55" s="4" t="s">
        <v>50</v>
      </c>
      <c r="C55" s="4" t="s">
        <v>13</v>
      </c>
      <c r="D55" s="4" t="s">
        <v>14</v>
      </c>
      <c r="E55" s="4">
        <v>942.9</v>
      </c>
      <c r="F55" s="4">
        <v>18</v>
      </c>
      <c r="G55" s="4">
        <v>0.1</v>
      </c>
      <c r="H55" s="5">
        <v>45466</v>
      </c>
      <c r="I55" s="4">
        <v>339.44</v>
      </c>
    </row>
    <row r="56" spans="1:9" ht="15.75" customHeight="1" x14ac:dyDescent="0.3">
      <c r="A56" s="4" t="s">
        <v>34</v>
      </c>
      <c r="B56" s="4" t="s">
        <v>40</v>
      </c>
      <c r="C56" s="4" t="s">
        <v>26</v>
      </c>
      <c r="D56" s="4" t="s">
        <v>23</v>
      </c>
      <c r="E56" s="4">
        <v>818.8</v>
      </c>
      <c r="F56" s="4">
        <v>15</v>
      </c>
      <c r="G56" s="4">
        <v>0.15</v>
      </c>
      <c r="H56" s="5">
        <v>45468</v>
      </c>
      <c r="I56" s="4">
        <v>173.99</v>
      </c>
    </row>
    <row r="57" spans="1:9" ht="15.75" customHeight="1" x14ac:dyDescent="0.3">
      <c r="A57" s="4" t="s">
        <v>21</v>
      </c>
      <c r="B57" s="4" t="s">
        <v>16</v>
      </c>
      <c r="C57" s="4" t="s">
        <v>22</v>
      </c>
      <c r="D57" s="4" t="s">
        <v>29</v>
      </c>
      <c r="E57" s="4">
        <v>919.04</v>
      </c>
      <c r="F57" s="4">
        <v>10</v>
      </c>
      <c r="G57" s="4">
        <v>0.2</v>
      </c>
      <c r="H57" s="5">
        <v>45468</v>
      </c>
      <c r="I57" s="4">
        <v>257.33</v>
      </c>
    </row>
    <row r="58" spans="1:9" ht="15.75" customHeight="1" x14ac:dyDescent="0.3">
      <c r="A58" s="4" t="s">
        <v>24</v>
      </c>
      <c r="B58" s="4" t="s">
        <v>68</v>
      </c>
      <c r="C58" s="4" t="s">
        <v>36</v>
      </c>
      <c r="D58" s="4" t="s">
        <v>14</v>
      </c>
      <c r="E58" s="4">
        <v>973.26</v>
      </c>
      <c r="F58" s="4">
        <v>11</v>
      </c>
      <c r="G58" s="4">
        <v>0</v>
      </c>
      <c r="H58" s="5">
        <v>45470</v>
      </c>
      <c r="I58" s="4">
        <v>389.3</v>
      </c>
    </row>
    <row r="59" spans="1:9" ht="15.75" customHeight="1" x14ac:dyDescent="0.3">
      <c r="A59" s="4" t="s">
        <v>43</v>
      </c>
      <c r="B59" s="4" t="s">
        <v>66</v>
      </c>
      <c r="C59" s="4" t="s">
        <v>26</v>
      </c>
      <c r="D59" s="4" t="s">
        <v>23</v>
      </c>
      <c r="E59" s="4">
        <v>741.61</v>
      </c>
      <c r="F59" s="4">
        <v>1</v>
      </c>
      <c r="G59" s="4">
        <v>0.2</v>
      </c>
      <c r="H59" s="5">
        <v>45471</v>
      </c>
      <c r="I59" s="4">
        <v>148.32</v>
      </c>
    </row>
    <row r="60" spans="1:9" ht="15.75" customHeight="1" x14ac:dyDescent="0.3">
      <c r="A60" s="4" t="s">
        <v>69</v>
      </c>
      <c r="B60" s="4" t="s">
        <v>40</v>
      </c>
      <c r="C60" s="4" t="s">
        <v>26</v>
      </c>
      <c r="D60" s="4" t="s">
        <v>14</v>
      </c>
      <c r="E60" s="4">
        <v>1248.82</v>
      </c>
      <c r="F60" s="4">
        <v>2</v>
      </c>
      <c r="G60" s="4">
        <v>0.1</v>
      </c>
      <c r="H60" s="5">
        <v>45473</v>
      </c>
      <c r="I60" s="4">
        <v>449.58</v>
      </c>
    </row>
    <row r="61" spans="1:9" ht="15.75" customHeight="1" x14ac:dyDescent="0.3">
      <c r="A61" s="4" t="s">
        <v>15</v>
      </c>
      <c r="B61" s="4" t="s">
        <v>61</v>
      </c>
      <c r="C61" s="4" t="s">
        <v>13</v>
      </c>
      <c r="D61" s="4" t="s">
        <v>17</v>
      </c>
      <c r="E61" s="4">
        <v>1360.36</v>
      </c>
      <c r="F61" s="4">
        <v>17</v>
      </c>
      <c r="G61" s="4">
        <v>0</v>
      </c>
      <c r="H61" s="5">
        <v>45473</v>
      </c>
      <c r="I61" s="4">
        <v>680.18</v>
      </c>
    </row>
    <row r="62" spans="1:9" ht="15.75" customHeight="1" x14ac:dyDescent="0.3">
      <c r="A62" s="4" t="s">
        <v>59</v>
      </c>
      <c r="B62" s="4" t="s">
        <v>33</v>
      </c>
      <c r="C62" s="4" t="s">
        <v>20</v>
      </c>
      <c r="D62" s="4" t="s">
        <v>14</v>
      </c>
      <c r="E62" s="4">
        <v>1383.3</v>
      </c>
      <c r="F62" s="4">
        <v>8</v>
      </c>
      <c r="G62" s="4">
        <v>0.1</v>
      </c>
      <c r="H62" s="5">
        <v>45478</v>
      </c>
      <c r="I62" s="4">
        <v>497.99</v>
      </c>
    </row>
    <row r="63" spans="1:9" ht="15.75" customHeight="1" x14ac:dyDescent="0.3">
      <c r="A63" s="4" t="s">
        <v>37</v>
      </c>
      <c r="B63" s="4" t="s">
        <v>57</v>
      </c>
      <c r="C63" s="4" t="s">
        <v>36</v>
      </c>
      <c r="D63" s="4" t="s">
        <v>41</v>
      </c>
      <c r="E63" s="4">
        <v>488.99</v>
      </c>
      <c r="F63" s="4">
        <v>9</v>
      </c>
      <c r="G63" s="4">
        <v>0</v>
      </c>
      <c r="H63" s="5">
        <v>45479</v>
      </c>
      <c r="I63" s="4">
        <v>220.05</v>
      </c>
    </row>
    <row r="64" spans="1:9" ht="15.75" customHeight="1" x14ac:dyDescent="0.3">
      <c r="A64" s="4" t="s">
        <v>32</v>
      </c>
      <c r="B64" s="4" t="s">
        <v>33</v>
      </c>
      <c r="C64" s="4" t="s">
        <v>20</v>
      </c>
      <c r="D64" s="4" t="s">
        <v>29</v>
      </c>
      <c r="E64" s="4">
        <v>933.71</v>
      </c>
      <c r="F64" s="4">
        <v>17</v>
      </c>
      <c r="G64" s="4">
        <v>0.1</v>
      </c>
      <c r="H64" s="5">
        <v>45481</v>
      </c>
      <c r="I64" s="4">
        <v>294.12</v>
      </c>
    </row>
    <row r="65" spans="1:9" ht="15.75" customHeight="1" x14ac:dyDescent="0.3">
      <c r="A65" s="4" t="s">
        <v>69</v>
      </c>
      <c r="B65" s="4" t="s">
        <v>12</v>
      </c>
      <c r="C65" s="4" t="s">
        <v>13</v>
      </c>
      <c r="D65" s="4" t="s">
        <v>23</v>
      </c>
      <c r="E65" s="4">
        <v>1005.53</v>
      </c>
      <c r="F65" s="4">
        <v>17</v>
      </c>
      <c r="G65" s="4">
        <v>0.2</v>
      </c>
      <c r="H65" s="5">
        <v>45481</v>
      </c>
      <c r="I65" s="4">
        <v>201.11</v>
      </c>
    </row>
    <row r="66" spans="1:9" ht="15.75" customHeight="1" x14ac:dyDescent="0.3">
      <c r="A66" s="4" t="s">
        <v>43</v>
      </c>
      <c r="B66" s="4" t="s">
        <v>63</v>
      </c>
      <c r="C66" s="4" t="s">
        <v>22</v>
      </c>
      <c r="D66" s="4" t="s">
        <v>23</v>
      </c>
      <c r="E66" s="4">
        <v>1100.0999999999999</v>
      </c>
      <c r="F66" s="4">
        <v>5</v>
      </c>
      <c r="G66" s="4">
        <v>0.05</v>
      </c>
      <c r="H66" s="5">
        <v>45482</v>
      </c>
      <c r="I66" s="4">
        <v>261.27</v>
      </c>
    </row>
    <row r="67" spans="1:9" ht="15.75" customHeight="1" x14ac:dyDescent="0.3">
      <c r="A67" s="4" t="s">
        <v>69</v>
      </c>
      <c r="B67" s="4" t="s">
        <v>25</v>
      </c>
      <c r="C67" s="4" t="s">
        <v>26</v>
      </c>
      <c r="D67" s="4" t="s">
        <v>29</v>
      </c>
      <c r="E67" s="4">
        <v>1034.7</v>
      </c>
      <c r="F67" s="4">
        <v>15</v>
      </c>
      <c r="G67" s="4">
        <v>0.15</v>
      </c>
      <c r="H67" s="5">
        <v>45487</v>
      </c>
      <c r="I67" s="4">
        <v>307.82</v>
      </c>
    </row>
    <row r="68" spans="1:9" ht="15.75" customHeight="1" x14ac:dyDescent="0.3">
      <c r="A68" s="4" t="s">
        <v>67</v>
      </c>
      <c r="B68" s="4" t="s">
        <v>33</v>
      </c>
      <c r="C68" s="4" t="s">
        <v>22</v>
      </c>
      <c r="D68" s="4" t="s">
        <v>14</v>
      </c>
      <c r="E68" s="4">
        <v>876.44</v>
      </c>
      <c r="F68" s="4">
        <v>12</v>
      </c>
      <c r="G68" s="4">
        <v>0.05</v>
      </c>
      <c r="H68" s="5">
        <v>45488</v>
      </c>
      <c r="I68" s="4">
        <v>333.05</v>
      </c>
    </row>
    <row r="69" spans="1:9" ht="15.75" customHeight="1" x14ac:dyDescent="0.3">
      <c r="A69" s="4" t="s">
        <v>70</v>
      </c>
      <c r="B69" s="4" t="s">
        <v>57</v>
      </c>
      <c r="C69" s="4" t="s">
        <v>13</v>
      </c>
      <c r="D69" s="4" t="s">
        <v>29</v>
      </c>
      <c r="E69" s="4">
        <v>1371.34</v>
      </c>
      <c r="F69" s="4">
        <v>5</v>
      </c>
      <c r="G69" s="4">
        <v>0.05</v>
      </c>
      <c r="H69" s="5">
        <v>45488</v>
      </c>
      <c r="I69" s="4">
        <v>455.97</v>
      </c>
    </row>
    <row r="70" spans="1:9" ht="15.75" customHeight="1" x14ac:dyDescent="0.3">
      <c r="A70" s="4" t="s">
        <v>59</v>
      </c>
      <c r="B70" s="4" t="s">
        <v>49</v>
      </c>
      <c r="C70" s="4" t="s">
        <v>26</v>
      </c>
      <c r="D70" s="4" t="s">
        <v>23</v>
      </c>
      <c r="E70" s="4">
        <v>1020.26</v>
      </c>
      <c r="F70" s="4">
        <v>11</v>
      </c>
      <c r="G70" s="4">
        <v>0.05</v>
      </c>
      <c r="H70" s="5">
        <v>45494</v>
      </c>
      <c r="I70" s="4">
        <v>242.31</v>
      </c>
    </row>
    <row r="71" spans="1:9" ht="15.75" customHeight="1" x14ac:dyDescent="0.3">
      <c r="A71" s="4" t="s">
        <v>46</v>
      </c>
      <c r="B71" s="4" t="s">
        <v>12</v>
      </c>
      <c r="C71" s="4" t="s">
        <v>36</v>
      </c>
      <c r="D71" s="4" t="s">
        <v>41</v>
      </c>
      <c r="E71" s="4">
        <v>804.81</v>
      </c>
      <c r="F71" s="4">
        <v>1</v>
      </c>
      <c r="G71" s="4">
        <v>0.05</v>
      </c>
      <c r="H71" s="5">
        <v>45502</v>
      </c>
      <c r="I71" s="4">
        <v>344.06</v>
      </c>
    </row>
    <row r="72" spans="1:9" ht="15.75" customHeight="1" x14ac:dyDescent="0.3">
      <c r="A72" s="4" t="s">
        <v>24</v>
      </c>
      <c r="B72" s="4" t="s">
        <v>57</v>
      </c>
      <c r="C72" s="4" t="s">
        <v>36</v>
      </c>
      <c r="D72" s="4" t="s">
        <v>23</v>
      </c>
      <c r="E72" s="4">
        <v>608.66</v>
      </c>
      <c r="F72" s="4">
        <v>1</v>
      </c>
      <c r="G72" s="4">
        <v>0.05</v>
      </c>
      <c r="H72" s="5">
        <v>45503</v>
      </c>
      <c r="I72" s="4">
        <v>144.56</v>
      </c>
    </row>
    <row r="73" spans="1:9" ht="15.75" customHeight="1" x14ac:dyDescent="0.3">
      <c r="A73" s="4" t="s">
        <v>70</v>
      </c>
      <c r="B73" s="4" t="s">
        <v>71</v>
      </c>
      <c r="C73" s="4" t="s">
        <v>22</v>
      </c>
      <c r="D73" s="4" t="s">
        <v>41</v>
      </c>
      <c r="E73" s="4">
        <v>981.2</v>
      </c>
      <c r="F73" s="4">
        <v>19</v>
      </c>
      <c r="G73" s="4">
        <v>0</v>
      </c>
      <c r="H73" s="5">
        <v>45504</v>
      </c>
      <c r="I73" s="4">
        <v>441.54</v>
      </c>
    </row>
    <row r="74" spans="1:9" ht="15.75" customHeight="1" x14ac:dyDescent="0.3">
      <c r="A74" s="4" t="s">
        <v>72</v>
      </c>
      <c r="B74" s="4" t="s">
        <v>57</v>
      </c>
      <c r="C74" s="4" t="s">
        <v>20</v>
      </c>
      <c r="D74" s="4" t="s">
        <v>23</v>
      </c>
      <c r="E74" s="4">
        <v>539.77</v>
      </c>
      <c r="F74" s="4">
        <v>10</v>
      </c>
      <c r="G74" s="4">
        <v>0.15</v>
      </c>
      <c r="H74" s="5">
        <v>45509</v>
      </c>
      <c r="I74" s="4">
        <v>114.7</v>
      </c>
    </row>
    <row r="75" spans="1:9" ht="15.75" customHeight="1" x14ac:dyDescent="0.3">
      <c r="A75" s="4" t="s">
        <v>15</v>
      </c>
      <c r="B75" s="4" t="s">
        <v>73</v>
      </c>
      <c r="C75" s="4" t="s">
        <v>22</v>
      </c>
      <c r="D75" s="4" t="s">
        <v>14</v>
      </c>
      <c r="E75" s="4">
        <v>804.45</v>
      </c>
      <c r="F75" s="4">
        <v>5</v>
      </c>
      <c r="G75" s="4">
        <v>0.2</v>
      </c>
      <c r="H75" s="5">
        <v>45509</v>
      </c>
      <c r="I75" s="4">
        <v>257.42</v>
      </c>
    </row>
    <row r="76" spans="1:9" ht="15.75" customHeight="1" x14ac:dyDescent="0.3">
      <c r="A76" s="4" t="s">
        <v>72</v>
      </c>
      <c r="B76" s="4" t="s">
        <v>40</v>
      </c>
      <c r="C76" s="4" t="s">
        <v>13</v>
      </c>
      <c r="D76" s="4" t="s">
        <v>23</v>
      </c>
      <c r="E76" s="4">
        <v>1526.6</v>
      </c>
      <c r="F76" s="4">
        <v>13</v>
      </c>
      <c r="G76" s="4">
        <v>0.2</v>
      </c>
      <c r="H76" s="5">
        <v>45512</v>
      </c>
      <c r="I76" s="4">
        <v>305.32</v>
      </c>
    </row>
    <row r="77" spans="1:9" ht="15.75" customHeight="1" x14ac:dyDescent="0.3">
      <c r="A77" s="4" t="s">
        <v>15</v>
      </c>
      <c r="B77" s="4" t="s">
        <v>31</v>
      </c>
      <c r="C77" s="4" t="s">
        <v>13</v>
      </c>
      <c r="D77" s="4" t="s">
        <v>23</v>
      </c>
      <c r="E77" s="4">
        <v>1215.26</v>
      </c>
      <c r="F77" s="4">
        <v>5</v>
      </c>
      <c r="G77" s="4">
        <v>0.15</v>
      </c>
      <c r="H77" s="5">
        <v>45513</v>
      </c>
      <c r="I77" s="4">
        <v>258.24</v>
      </c>
    </row>
    <row r="78" spans="1:9" ht="15.75" customHeight="1" x14ac:dyDescent="0.3">
      <c r="A78" s="4" t="s">
        <v>21</v>
      </c>
      <c r="B78" s="4" t="s">
        <v>55</v>
      </c>
      <c r="C78" s="4" t="s">
        <v>36</v>
      </c>
      <c r="D78" s="4" t="s">
        <v>29</v>
      </c>
      <c r="E78" s="4">
        <v>1261.3399999999999</v>
      </c>
      <c r="F78" s="4">
        <v>3</v>
      </c>
      <c r="G78" s="4">
        <v>0</v>
      </c>
      <c r="H78" s="5">
        <v>45519</v>
      </c>
      <c r="I78" s="4">
        <v>441.47</v>
      </c>
    </row>
    <row r="79" spans="1:9" ht="15.75" customHeight="1" x14ac:dyDescent="0.3">
      <c r="A79" s="4" t="s">
        <v>74</v>
      </c>
      <c r="B79" s="4" t="s">
        <v>47</v>
      </c>
      <c r="C79" s="4" t="s">
        <v>26</v>
      </c>
      <c r="D79" s="4" t="s">
        <v>29</v>
      </c>
      <c r="E79" s="4">
        <v>518.07000000000005</v>
      </c>
      <c r="F79" s="4">
        <v>7</v>
      </c>
      <c r="G79" s="4">
        <v>0.05</v>
      </c>
      <c r="H79" s="5">
        <v>45522</v>
      </c>
      <c r="I79" s="4">
        <v>172.26</v>
      </c>
    </row>
    <row r="80" spans="1:9" ht="15.75" customHeight="1" x14ac:dyDescent="0.3">
      <c r="A80" s="4" t="s">
        <v>32</v>
      </c>
      <c r="B80" s="4" t="s">
        <v>31</v>
      </c>
      <c r="C80" s="4" t="s">
        <v>13</v>
      </c>
      <c r="D80" s="4" t="s">
        <v>41</v>
      </c>
      <c r="E80" s="4">
        <v>1111.3399999999999</v>
      </c>
      <c r="F80" s="4">
        <v>1</v>
      </c>
      <c r="G80" s="4">
        <v>0</v>
      </c>
      <c r="H80" s="5">
        <v>45523</v>
      </c>
      <c r="I80" s="4">
        <v>500.1</v>
      </c>
    </row>
    <row r="81" spans="1:9" ht="15.75" customHeight="1" x14ac:dyDescent="0.3">
      <c r="A81" s="4" t="s">
        <v>24</v>
      </c>
      <c r="B81" s="4" t="s">
        <v>33</v>
      </c>
      <c r="C81" s="4" t="s">
        <v>20</v>
      </c>
      <c r="D81" s="4" t="s">
        <v>17</v>
      </c>
      <c r="E81" s="4">
        <v>1291.47</v>
      </c>
      <c r="F81" s="4">
        <v>18</v>
      </c>
      <c r="G81" s="4">
        <v>0.1</v>
      </c>
      <c r="H81" s="5">
        <v>45526</v>
      </c>
      <c r="I81" s="4">
        <v>581.16</v>
      </c>
    </row>
    <row r="82" spans="1:9" ht="15.75" customHeight="1" x14ac:dyDescent="0.3">
      <c r="A82" s="4" t="s">
        <v>27</v>
      </c>
      <c r="B82" s="4" t="s">
        <v>57</v>
      </c>
      <c r="C82" s="4" t="s">
        <v>26</v>
      </c>
      <c r="D82" s="4" t="s">
        <v>14</v>
      </c>
      <c r="E82" s="4">
        <v>679.71</v>
      </c>
      <c r="F82" s="4">
        <v>19</v>
      </c>
      <c r="G82" s="4">
        <v>0</v>
      </c>
      <c r="H82" s="5">
        <v>45534</v>
      </c>
      <c r="I82" s="4">
        <v>271.88</v>
      </c>
    </row>
    <row r="83" spans="1:9" ht="15.75" customHeight="1" x14ac:dyDescent="0.3">
      <c r="A83" s="4" t="s">
        <v>70</v>
      </c>
      <c r="B83" s="4" t="s">
        <v>35</v>
      </c>
      <c r="C83" s="4" t="s">
        <v>20</v>
      </c>
      <c r="D83" s="4" t="s">
        <v>29</v>
      </c>
      <c r="E83" s="4">
        <v>1143.69</v>
      </c>
      <c r="F83" s="4">
        <v>17</v>
      </c>
      <c r="G83" s="4">
        <v>0</v>
      </c>
      <c r="H83" s="5">
        <v>45534</v>
      </c>
      <c r="I83" s="4">
        <v>400.29</v>
      </c>
    </row>
    <row r="84" spans="1:9" ht="15.75" customHeight="1" x14ac:dyDescent="0.3">
      <c r="A84" s="4" t="s">
        <v>54</v>
      </c>
      <c r="B84" s="4" t="s">
        <v>52</v>
      </c>
      <c r="C84" s="4" t="s">
        <v>36</v>
      </c>
      <c r="D84" s="4" t="s">
        <v>23</v>
      </c>
      <c r="E84" s="4">
        <v>790.08</v>
      </c>
      <c r="F84" s="4">
        <v>7</v>
      </c>
      <c r="G84" s="4">
        <v>0.1</v>
      </c>
      <c r="H84" s="5">
        <v>45536</v>
      </c>
      <c r="I84" s="4">
        <v>177.77</v>
      </c>
    </row>
    <row r="85" spans="1:9" ht="15.75" customHeight="1" x14ac:dyDescent="0.3">
      <c r="A85" s="4" t="s">
        <v>21</v>
      </c>
      <c r="B85" s="4" t="s">
        <v>50</v>
      </c>
      <c r="C85" s="4" t="s">
        <v>36</v>
      </c>
      <c r="D85" s="4" t="s">
        <v>14</v>
      </c>
      <c r="E85" s="4">
        <v>1070.68</v>
      </c>
      <c r="F85" s="4">
        <v>7</v>
      </c>
      <c r="G85" s="4">
        <v>0.05</v>
      </c>
      <c r="H85" s="5">
        <v>45536</v>
      </c>
      <c r="I85" s="4">
        <v>406.86</v>
      </c>
    </row>
    <row r="86" spans="1:9" ht="15.75" customHeight="1" x14ac:dyDescent="0.3">
      <c r="A86" s="4" t="s">
        <v>60</v>
      </c>
      <c r="B86" s="4" t="s">
        <v>38</v>
      </c>
      <c r="C86" s="4" t="s">
        <v>13</v>
      </c>
      <c r="D86" s="4" t="s">
        <v>17</v>
      </c>
      <c r="E86" s="4">
        <v>1168.8900000000001</v>
      </c>
      <c r="F86" s="4">
        <v>4</v>
      </c>
      <c r="G86" s="4">
        <v>0.1</v>
      </c>
      <c r="H86" s="5">
        <v>45544</v>
      </c>
      <c r="I86" s="4">
        <v>526</v>
      </c>
    </row>
    <row r="87" spans="1:9" ht="15.75" customHeight="1" x14ac:dyDescent="0.3">
      <c r="A87" s="4" t="s">
        <v>69</v>
      </c>
      <c r="B87" s="4" t="s">
        <v>12</v>
      </c>
      <c r="C87" s="4" t="s">
        <v>22</v>
      </c>
      <c r="D87" s="4" t="s">
        <v>23</v>
      </c>
      <c r="E87" s="4">
        <v>1335.87</v>
      </c>
      <c r="F87" s="4">
        <v>17</v>
      </c>
      <c r="G87" s="4">
        <v>0</v>
      </c>
      <c r="H87" s="5">
        <v>45544</v>
      </c>
      <c r="I87" s="4">
        <v>333.97</v>
      </c>
    </row>
    <row r="88" spans="1:9" ht="15.75" customHeight="1" x14ac:dyDescent="0.3">
      <c r="A88" s="4" t="s">
        <v>42</v>
      </c>
      <c r="B88" s="4" t="s">
        <v>57</v>
      </c>
      <c r="C88" s="4" t="s">
        <v>20</v>
      </c>
      <c r="D88" s="4" t="s">
        <v>29</v>
      </c>
      <c r="E88" s="4">
        <v>873.7</v>
      </c>
      <c r="F88" s="4">
        <v>9</v>
      </c>
      <c r="G88" s="4">
        <v>0</v>
      </c>
      <c r="H88" s="5">
        <v>45546</v>
      </c>
      <c r="I88" s="4">
        <v>305.8</v>
      </c>
    </row>
    <row r="89" spans="1:9" ht="15.75" customHeight="1" x14ac:dyDescent="0.3">
      <c r="A89" s="4" t="s">
        <v>74</v>
      </c>
      <c r="B89" s="4" t="s">
        <v>66</v>
      </c>
      <c r="C89" s="4" t="s">
        <v>13</v>
      </c>
      <c r="D89" s="4" t="s">
        <v>41</v>
      </c>
      <c r="E89" s="4">
        <v>1443.98</v>
      </c>
      <c r="F89" s="4">
        <v>19</v>
      </c>
      <c r="G89" s="4">
        <v>0</v>
      </c>
      <c r="H89" s="5">
        <v>45547</v>
      </c>
      <c r="I89" s="4">
        <v>649.79</v>
      </c>
    </row>
    <row r="90" spans="1:9" ht="15.75" customHeight="1" x14ac:dyDescent="0.3">
      <c r="A90" s="4" t="s">
        <v>42</v>
      </c>
      <c r="B90" s="4" t="s">
        <v>25</v>
      </c>
      <c r="C90" s="4" t="s">
        <v>20</v>
      </c>
      <c r="D90" s="4" t="s">
        <v>41</v>
      </c>
      <c r="E90" s="4">
        <v>1154.33</v>
      </c>
      <c r="F90" s="4">
        <v>11</v>
      </c>
      <c r="G90" s="4">
        <v>0.15</v>
      </c>
      <c r="H90" s="5">
        <v>45549</v>
      </c>
      <c r="I90" s="4">
        <v>441.53</v>
      </c>
    </row>
    <row r="91" spans="1:9" ht="15.75" customHeight="1" x14ac:dyDescent="0.3">
      <c r="A91" s="4" t="s">
        <v>51</v>
      </c>
      <c r="B91" s="4" t="s">
        <v>52</v>
      </c>
      <c r="C91" s="4" t="s">
        <v>22</v>
      </c>
      <c r="D91" s="4" t="s">
        <v>14</v>
      </c>
      <c r="E91" s="4">
        <v>1264.49</v>
      </c>
      <c r="F91" s="4">
        <v>16</v>
      </c>
      <c r="G91" s="4">
        <v>0.05</v>
      </c>
      <c r="H91" s="5">
        <v>45549</v>
      </c>
      <c r="I91" s="4">
        <v>480.51</v>
      </c>
    </row>
    <row r="92" spans="1:9" ht="15.75" customHeight="1" x14ac:dyDescent="0.3">
      <c r="A92" s="4" t="s">
        <v>27</v>
      </c>
      <c r="B92" s="4" t="s">
        <v>68</v>
      </c>
      <c r="C92" s="4" t="s">
        <v>13</v>
      </c>
      <c r="D92" s="4" t="s">
        <v>29</v>
      </c>
      <c r="E92" s="4">
        <v>1101.55</v>
      </c>
      <c r="F92" s="4">
        <v>4</v>
      </c>
      <c r="G92" s="4">
        <v>0.1</v>
      </c>
      <c r="H92" s="5">
        <v>45551</v>
      </c>
      <c r="I92" s="4">
        <v>346.99</v>
      </c>
    </row>
    <row r="93" spans="1:9" ht="15.75" customHeight="1" x14ac:dyDescent="0.3">
      <c r="A93" s="4" t="s">
        <v>75</v>
      </c>
      <c r="B93" s="4" t="s">
        <v>16</v>
      </c>
      <c r="C93" s="4" t="s">
        <v>22</v>
      </c>
      <c r="D93" s="4" t="s">
        <v>29</v>
      </c>
      <c r="E93" s="4">
        <v>727.73</v>
      </c>
      <c r="F93" s="4">
        <v>1</v>
      </c>
      <c r="G93" s="4">
        <v>0.1</v>
      </c>
      <c r="H93" s="5">
        <v>45552</v>
      </c>
      <c r="I93" s="4">
        <v>229.23</v>
      </c>
    </row>
    <row r="94" spans="1:9" ht="15.75" customHeight="1" x14ac:dyDescent="0.3">
      <c r="A94" s="4" t="s">
        <v>76</v>
      </c>
      <c r="B94" s="4" t="s">
        <v>40</v>
      </c>
      <c r="C94" s="4" t="s">
        <v>20</v>
      </c>
      <c r="D94" s="4" t="s">
        <v>41</v>
      </c>
      <c r="E94" s="4">
        <v>875.41</v>
      </c>
      <c r="F94" s="4">
        <v>13</v>
      </c>
      <c r="G94" s="4">
        <v>0.15</v>
      </c>
      <c r="H94" s="5">
        <v>45552</v>
      </c>
      <c r="I94" s="4">
        <v>334.84</v>
      </c>
    </row>
    <row r="95" spans="1:9" ht="15.75" customHeight="1" x14ac:dyDescent="0.3">
      <c r="A95" s="4" t="s">
        <v>69</v>
      </c>
      <c r="B95" s="4" t="s">
        <v>25</v>
      </c>
      <c r="C95" s="4" t="s">
        <v>13</v>
      </c>
      <c r="D95" s="4" t="s">
        <v>23</v>
      </c>
      <c r="E95" s="4">
        <v>1158.94</v>
      </c>
      <c r="F95" s="4">
        <v>19</v>
      </c>
      <c r="G95" s="4">
        <v>0.2</v>
      </c>
      <c r="H95" s="5">
        <v>45553</v>
      </c>
      <c r="I95" s="4">
        <v>231.79</v>
      </c>
    </row>
    <row r="96" spans="1:9" ht="15.75" customHeight="1" x14ac:dyDescent="0.3">
      <c r="A96" s="4" t="s">
        <v>77</v>
      </c>
      <c r="B96" s="4" t="s">
        <v>49</v>
      </c>
      <c r="C96" s="4" t="s">
        <v>22</v>
      </c>
      <c r="D96" s="4" t="s">
        <v>14</v>
      </c>
      <c r="E96" s="4">
        <v>966.3</v>
      </c>
      <c r="F96" s="4">
        <v>2</v>
      </c>
      <c r="G96" s="4">
        <v>0.15</v>
      </c>
      <c r="H96" s="5">
        <v>45557</v>
      </c>
      <c r="I96" s="4">
        <v>328.54</v>
      </c>
    </row>
    <row r="97" spans="1:9" ht="15.75" customHeight="1" x14ac:dyDescent="0.3">
      <c r="A97" s="4" t="s">
        <v>70</v>
      </c>
      <c r="B97" s="4" t="s">
        <v>19</v>
      </c>
      <c r="C97" s="4" t="s">
        <v>22</v>
      </c>
      <c r="D97" s="4" t="s">
        <v>14</v>
      </c>
      <c r="E97" s="4">
        <v>917.48</v>
      </c>
      <c r="F97" s="4">
        <v>6</v>
      </c>
      <c r="G97" s="4">
        <v>0</v>
      </c>
      <c r="H97" s="5">
        <v>45558</v>
      </c>
      <c r="I97" s="4">
        <v>366.99</v>
      </c>
    </row>
    <row r="98" spans="1:9" ht="15.75" customHeight="1" x14ac:dyDescent="0.3">
      <c r="A98" s="4" t="s">
        <v>43</v>
      </c>
      <c r="B98" s="4" t="s">
        <v>63</v>
      </c>
      <c r="C98" s="4" t="s">
        <v>13</v>
      </c>
      <c r="D98" s="4" t="s">
        <v>29</v>
      </c>
      <c r="E98" s="4">
        <v>1172.97</v>
      </c>
      <c r="F98" s="4">
        <v>7</v>
      </c>
      <c r="G98" s="4">
        <v>0.15</v>
      </c>
      <c r="H98" s="5">
        <v>45559</v>
      </c>
      <c r="I98" s="4">
        <v>348.96</v>
      </c>
    </row>
    <row r="99" spans="1:9" ht="15.75" customHeight="1" x14ac:dyDescent="0.3">
      <c r="A99" s="4" t="s">
        <v>59</v>
      </c>
      <c r="B99" s="4" t="s">
        <v>25</v>
      </c>
      <c r="C99" s="4" t="s">
        <v>26</v>
      </c>
      <c r="D99" s="4" t="s">
        <v>17</v>
      </c>
      <c r="E99" s="4">
        <v>1205.82</v>
      </c>
      <c r="F99" s="4">
        <v>11</v>
      </c>
      <c r="G99" s="4">
        <v>0.1</v>
      </c>
      <c r="H99" s="5">
        <v>45559</v>
      </c>
      <c r="I99" s="4">
        <v>542.62</v>
      </c>
    </row>
    <row r="100" spans="1:9" ht="15.75" customHeight="1" x14ac:dyDescent="0.3">
      <c r="A100" s="4" t="s">
        <v>18</v>
      </c>
      <c r="B100" s="4" t="s">
        <v>66</v>
      </c>
      <c r="C100" s="4" t="s">
        <v>13</v>
      </c>
      <c r="D100" s="4" t="s">
        <v>41</v>
      </c>
      <c r="E100" s="4">
        <v>826.93</v>
      </c>
      <c r="F100" s="4">
        <v>10</v>
      </c>
      <c r="G100" s="4">
        <v>0.2</v>
      </c>
      <c r="H100" s="5">
        <v>45564</v>
      </c>
      <c r="I100" s="4">
        <v>297.69</v>
      </c>
    </row>
    <row r="101" spans="1:9" ht="15.75" customHeight="1" x14ac:dyDescent="0.3">
      <c r="A101" s="4" t="s">
        <v>69</v>
      </c>
      <c r="B101" s="4" t="s">
        <v>25</v>
      </c>
      <c r="C101" s="4" t="s">
        <v>36</v>
      </c>
      <c r="D101" s="4" t="s">
        <v>17</v>
      </c>
      <c r="E101" s="4">
        <v>902.19</v>
      </c>
      <c r="F101" s="4">
        <v>12</v>
      </c>
      <c r="G101" s="4">
        <v>0</v>
      </c>
      <c r="H101" s="5">
        <v>45564</v>
      </c>
      <c r="I101" s="4">
        <v>451.1</v>
      </c>
    </row>
    <row r="102" spans="1:9" ht="15.75" customHeight="1" x14ac:dyDescent="0.3">
      <c r="A102" s="4" t="s">
        <v>76</v>
      </c>
      <c r="B102" s="4" t="s">
        <v>40</v>
      </c>
      <c r="C102" s="4" t="s">
        <v>26</v>
      </c>
      <c r="D102" s="4" t="s">
        <v>14</v>
      </c>
      <c r="E102" s="4">
        <v>585.97</v>
      </c>
      <c r="F102" s="4">
        <v>17</v>
      </c>
      <c r="G102" s="4">
        <v>0.1</v>
      </c>
      <c r="H102" s="5">
        <v>45565</v>
      </c>
      <c r="I102" s="4">
        <v>210.95</v>
      </c>
    </row>
    <row r="103" spans="1:9" ht="15.75" customHeight="1" x14ac:dyDescent="0.3">
      <c r="A103" s="4" t="s">
        <v>62</v>
      </c>
      <c r="B103" s="4" t="s">
        <v>28</v>
      </c>
      <c r="C103" s="4" t="s">
        <v>26</v>
      </c>
      <c r="D103" s="4" t="s">
        <v>17</v>
      </c>
      <c r="E103" s="4">
        <v>990.19</v>
      </c>
      <c r="F103" s="4">
        <v>8</v>
      </c>
      <c r="G103" s="4">
        <v>0.1</v>
      </c>
      <c r="H103" s="5">
        <v>45565</v>
      </c>
      <c r="I103" s="4">
        <v>445.59</v>
      </c>
    </row>
    <row r="104" spans="1:9" ht="15.75" customHeight="1" x14ac:dyDescent="0.3">
      <c r="A104" s="4" t="s">
        <v>46</v>
      </c>
      <c r="B104" s="4" t="s">
        <v>58</v>
      </c>
      <c r="C104" s="4" t="s">
        <v>36</v>
      </c>
      <c r="D104" s="4" t="s">
        <v>23</v>
      </c>
      <c r="E104" s="4">
        <v>1014.09</v>
      </c>
      <c r="F104" s="4">
        <v>13</v>
      </c>
      <c r="G104" s="4">
        <v>0.2</v>
      </c>
      <c r="H104" s="5">
        <v>45567</v>
      </c>
      <c r="I104" s="4">
        <v>202.82</v>
      </c>
    </row>
    <row r="105" spans="1:9" ht="15.75" customHeight="1" x14ac:dyDescent="0.3">
      <c r="A105" s="4" t="s">
        <v>15</v>
      </c>
      <c r="B105" s="4" t="s">
        <v>50</v>
      </c>
      <c r="C105" s="4" t="s">
        <v>26</v>
      </c>
      <c r="D105" s="4" t="s">
        <v>23</v>
      </c>
      <c r="E105" s="4">
        <v>925.29</v>
      </c>
      <c r="F105" s="4">
        <v>17</v>
      </c>
      <c r="G105" s="4">
        <v>0</v>
      </c>
      <c r="H105" s="5">
        <v>45570</v>
      </c>
      <c r="I105" s="4">
        <v>231.32</v>
      </c>
    </row>
    <row r="106" spans="1:9" ht="15.75" customHeight="1" x14ac:dyDescent="0.3">
      <c r="A106" s="4" t="s">
        <v>56</v>
      </c>
      <c r="B106" s="4" t="s">
        <v>49</v>
      </c>
      <c r="C106" s="4" t="s">
        <v>20</v>
      </c>
      <c r="D106" s="4" t="s">
        <v>29</v>
      </c>
      <c r="E106" s="4">
        <v>1286.54</v>
      </c>
      <c r="F106" s="4">
        <v>8</v>
      </c>
      <c r="G106" s="4">
        <v>0</v>
      </c>
      <c r="H106" s="5">
        <v>45575</v>
      </c>
      <c r="I106" s="4">
        <v>450.29</v>
      </c>
    </row>
    <row r="107" spans="1:9" ht="15.75" customHeight="1" x14ac:dyDescent="0.3">
      <c r="A107" s="4" t="s">
        <v>39</v>
      </c>
      <c r="B107" s="4" t="s">
        <v>66</v>
      </c>
      <c r="C107" s="4" t="s">
        <v>22</v>
      </c>
      <c r="D107" s="4" t="s">
        <v>14</v>
      </c>
      <c r="E107" s="4">
        <v>961.62</v>
      </c>
      <c r="F107" s="4">
        <v>8</v>
      </c>
      <c r="G107" s="4">
        <v>0.2</v>
      </c>
      <c r="H107" s="5">
        <v>45577</v>
      </c>
      <c r="I107" s="4">
        <v>307.72000000000003</v>
      </c>
    </row>
    <row r="108" spans="1:9" ht="15.75" customHeight="1" x14ac:dyDescent="0.3">
      <c r="A108" s="4" t="s">
        <v>46</v>
      </c>
      <c r="B108" s="4" t="s">
        <v>25</v>
      </c>
      <c r="C108" s="4" t="s">
        <v>20</v>
      </c>
      <c r="D108" s="4" t="s">
        <v>14</v>
      </c>
      <c r="E108" s="4">
        <v>1081.1400000000001</v>
      </c>
      <c r="F108" s="4">
        <v>19</v>
      </c>
      <c r="G108" s="4">
        <v>0.15</v>
      </c>
      <c r="H108" s="5">
        <v>45577</v>
      </c>
      <c r="I108" s="4">
        <v>367.59</v>
      </c>
    </row>
    <row r="109" spans="1:9" ht="15.75" customHeight="1" x14ac:dyDescent="0.3">
      <c r="A109" s="4" t="s">
        <v>60</v>
      </c>
      <c r="B109" s="4" t="s">
        <v>25</v>
      </c>
      <c r="C109" s="4" t="s">
        <v>13</v>
      </c>
      <c r="D109" s="4" t="s">
        <v>17</v>
      </c>
      <c r="E109" s="4">
        <v>1923.66</v>
      </c>
      <c r="F109" s="4">
        <v>9</v>
      </c>
      <c r="G109" s="4">
        <v>0.2</v>
      </c>
      <c r="H109" s="5">
        <v>45580</v>
      </c>
      <c r="I109" s="4">
        <v>769.46</v>
      </c>
    </row>
    <row r="110" spans="1:9" ht="15.75" customHeight="1" x14ac:dyDescent="0.3">
      <c r="A110" s="4" t="s">
        <v>56</v>
      </c>
      <c r="B110" s="4" t="s">
        <v>68</v>
      </c>
      <c r="C110" s="4" t="s">
        <v>36</v>
      </c>
      <c r="D110" s="4" t="s">
        <v>17</v>
      </c>
      <c r="E110" s="4">
        <v>728.71</v>
      </c>
      <c r="F110" s="4">
        <v>14</v>
      </c>
      <c r="G110" s="4">
        <v>0.1</v>
      </c>
      <c r="H110" s="5">
        <v>45581</v>
      </c>
      <c r="I110" s="4">
        <v>327.92</v>
      </c>
    </row>
    <row r="111" spans="1:9" ht="15.75" customHeight="1" x14ac:dyDescent="0.3">
      <c r="A111" s="4" t="s">
        <v>11</v>
      </c>
      <c r="B111" s="4" t="s">
        <v>35</v>
      </c>
      <c r="C111" s="4" t="s">
        <v>36</v>
      </c>
      <c r="D111" s="4" t="s">
        <v>17</v>
      </c>
      <c r="E111" s="4">
        <v>1301.8900000000001</v>
      </c>
      <c r="F111" s="4">
        <v>7</v>
      </c>
      <c r="G111" s="4">
        <v>0.15</v>
      </c>
      <c r="H111" s="5">
        <v>45581</v>
      </c>
      <c r="I111" s="4">
        <v>553.29999999999995</v>
      </c>
    </row>
    <row r="112" spans="1:9" ht="15.75" customHeight="1" x14ac:dyDescent="0.3">
      <c r="A112" s="4" t="s">
        <v>72</v>
      </c>
      <c r="B112" s="4" t="s">
        <v>68</v>
      </c>
      <c r="C112" s="4" t="s">
        <v>20</v>
      </c>
      <c r="D112" s="4" t="s">
        <v>14</v>
      </c>
      <c r="E112" s="4">
        <v>980.18</v>
      </c>
      <c r="F112" s="4">
        <v>16</v>
      </c>
      <c r="G112" s="4">
        <v>0.1</v>
      </c>
      <c r="H112" s="5">
        <v>45582</v>
      </c>
      <c r="I112" s="4">
        <v>352.86</v>
      </c>
    </row>
    <row r="113" spans="1:9" ht="15.75" customHeight="1" x14ac:dyDescent="0.3">
      <c r="A113" s="4" t="s">
        <v>76</v>
      </c>
      <c r="B113" s="4" t="s">
        <v>25</v>
      </c>
      <c r="C113" s="4" t="s">
        <v>13</v>
      </c>
      <c r="D113" s="4" t="s">
        <v>17</v>
      </c>
      <c r="E113" s="4">
        <v>697.57</v>
      </c>
      <c r="F113" s="4">
        <v>17</v>
      </c>
      <c r="G113" s="4">
        <v>0.1</v>
      </c>
      <c r="H113" s="5">
        <v>45584</v>
      </c>
      <c r="I113" s="4">
        <v>313.91000000000003</v>
      </c>
    </row>
    <row r="114" spans="1:9" ht="15.75" customHeight="1" x14ac:dyDescent="0.3">
      <c r="A114" s="4" t="s">
        <v>48</v>
      </c>
      <c r="B114" s="4" t="s">
        <v>73</v>
      </c>
      <c r="C114" s="4" t="s">
        <v>13</v>
      </c>
      <c r="D114" s="4" t="s">
        <v>29</v>
      </c>
      <c r="E114" s="4">
        <v>1193.6099999999999</v>
      </c>
      <c r="F114" s="4">
        <v>1</v>
      </c>
      <c r="G114" s="4">
        <v>0.15</v>
      </c>
      <c r="H114" s="5">
        <v>45584</v>
      </c>
      <c r="I114" s="4">
        <v>355.1</v>
      </c>
    </row>
    <row r="115" spans="1:9" ht="15.75" customHeight="1" x14ac:dyDescent="0.3">
      <c r="A115" s="4" t="s">
        <v>34</v>
      </c>
      <c r="B115" s="4" t="s">
        <v>40</v>
      </c>
      <c r="C115" s="4" t="s">
        <v>22</v>
      </c>
      <c r="D115" s="4" t="s">
        <v>23</v>
      </c>
      <c r="E115" s="4">
        <v>771.02</v>
      </c>
      <c r="F115" s="4">
        <v>1</v>
      </c>
      <c r="G115" s="4">
        <v>0</v>
      </c>
      <c r="H115" s="5">
        <v>45585</v>
      </c>
      <c r="I115" s="4">
        <v>192.76</v>
      </c>
    </row>
    <row r="116" spans="1:9" ht="15.75" customHeight="1" x14ac:dyDescent="0.3">
      <c r="A116" s="4" t="s">
        <v>69</v>
      </c>
      <c r="B116" s="4" t="s">
        <v>71</v>
      </c>
      <c r="C116" s="4" t="s">
        <v>26</v>
      </c>
      <c r="D116" s="4" t="s">
        <v>17</v>
      </c>
      <c r="E116" s="4">
        <v>661.09</v>
      </c>
      <c r="F116" s="4">
        <v>1</v>
      </c>
      <c r="G116" s="4">
        <v>0.2</v>
      </c>
      <c r="H116" s="5">
        <v>45593</v>
      </c>
      <c r="I116" s="4">
        <v>264.44</v>
      </c>
    </row>
    <row r="117" spans="1:9" ht="15.75" customHeight="1" x14ac:dyDescent="0.3">
      <c r="A117" s="4" t="s">
        <v>15</v>
      </c>
      <c r="B117" s="4" t="s">
        <v>57</v>
      </c>
      <c r="C117" s="4" t="s">
        <v>13</v>
      </c>
      <c r="D117" s="4" t="s">
        <v>23</v>
      </c>
      <c r="E117" s="4">
        <v>688.83</v>
      </c>
      <c r="F117" s="4">
        <v>15</v>
      </c>
      <c r="G117" s="4">
        <v>0</v>
      </c>
      <c r="H117" s="5">
        <v>45595</v>
      </c>
      <c r="I117" s="4">
        <v>172.21</v>
      </c>
    </row>
    <row r="118" spans="1:9" ht="15.75" customHeight="1" x14ac:dyDescent="0.3">
      <c r="A118" s="4" t="s">
        <v>75</v>
      </c>
      <c r="B118" s="4" t="s">
        <v>31</v>
      </c>
      <c r="C118" s="4" t="s">
        <v>36</v>
      </c>
      <c r="D118" s="4" t="s">
        <v>14</v>
      </c>
      <c r="E118" s="4">
        <v>1249.0999999999999</v>
      </c>
      <c r="F118" s="4">
        <v>4</v>
      </c>
      <c r="G118" s="4">
        <v>0.05</v>
      </c>
      <c r="H118" s="5">
        <v>45597</v>
      </c>
      <c r="I118" s="4">
        <v>474.66</v>
      </c>
    </row>
    <row r="119" spans="1:9" ht="15.75" customHeight="1" x14ac:dyDescent="0.3">
      <c r="A119" s="4" t="s">
        <v>46</v>
      </c>
      <c r="B119" s="4" t="s">
        <v>25</v>
      </c>
      <c r="C119" s="4" t="s">
        <v>20</v>
      </c>
      <c r="D119" s="4" t="s">
        <v>41</v>
      </c>
      <c r="E119" s="4">
        <v>1014.22</v>
      </c>
      <c r="F119" s="4">
        <v>14</v>
      </c>
      <c r="G119" s="4">
        <v>0.05</v>
      </c>
      <c r="H119" s="5">
        <v>45599</v>
      </c>
      <c r="I119" s="4">
        <v>433.58</v>
      </c>
    </row>
    <row r="120" spans="1:9" ht="15.75" customHeight="1" x14ac:dyDescent="0.3">
      <c r="A120" s="4" t="s">
        <v>56</v>
      </c>
      <c r="B120" s="4" t="s">
        <v>50</v>
      </c>
      <c r="C120" s="4" t="s">
        <v>20</v>
      </c>
      <c r="D120" s="4" t="s">
        <v>14</v>
      </c>
      <c r="E120" s="4">
        <v>1010.58</v>
      </c>
      <c r="F120" s="4">
        <v>2</v>
      </c>
      <c r="G120" s="4">
        <v>0.15</v>
      </c>
      <c r="H120" s="5">
        <v>45605</v>
      </c>
      <c r="I120" s="4">
        <v>343.6</v>
      </c>
    </row>
    <row r="121" spans="1:9" ht="15.75" customHeight="1" x14ac:dyDescent="0.3">
      <c r="A121" s="4" t="s">
        <v>32</v>
      </c>
      <c r="B121" s="4" t="s">
        <v>61</v>
      </c>
      <c r="C121" s="4" t="s">
        <v>26</v>
      </c>
      <c r="D121" s="4" t="s">
        <v>29</v>
      </c>
      <c r="E121" s="4">
        <v>957.29</v>
      </c>
      <c r="F121" s="4">
        <v>4</v>
      </c>
      <c r="G121" s="4">
        <v>0.05</v>
      </c>
      <c r="H121" s="5">
        <v>45605</v>
      </c>
      <c r="I121" s="4">
        <v>318.3</v>
      </c>
    </row>
    <row r="122" spans="1:9" ht="15.75" customHeight="1" x14ac:dyDescent="0.3">
      <c r="A122" s="4" t="s">
        <v>30</v>
      </c>
      <c r="B122" s="4" t="s">
        <v>47</v>
      </c>
      <c r="C122" s="4" t="s">
        <v>26</v>
      </c>
      <c r="D122" s="4" t="s">
        <v>29</v>
      </c>
      <c r="E122" s="4">
        <v>1077.92</v>
      </c>
      <c r="F122" s="4">
        <v>3</v>
      </c>
      <c r="G122" s="4">
        <v>0.05</v>
      </c>
      <c r="H122" s="5">
        <v>45608</v>
      </c>
      <c r="I122" s="4">
        <v>358.41</v>
      </c>
    </row>
    <row r="123" spans="1:9" ht="15.75" customHeight="1" x14ac:dyDescent="0.3">
      <c r="A123" s="4" t="s">
        <v>54</v>
      </c>
      <c r="B123" s="4" t="s">
        <v>52</v>
      </c>
      <c r="C123" s="4" t="s">
        <v>22</v>
      </c>
      <c r="D123" s="4" t="s">
        <v>17</v>
      </c>
      <c r="E123" s="4">
        <v>1163.01</v>
      </c>
      <c r="F123" s="4">
        <v>5</v>
      </c>
      <c r="G123" s="4">
        <v>0</v>
      </c>
      <c r="H123" s="5">
        <v>45611</v>
      </c>
      <c r="I123" s="4">
        <v>581.5</v>
      </c>
    </row>
    <row r="124" spans="1:9" ht="15.75" customHeight="1" x14ac:dyDescent="0.3">
      <c r="A124" s="4" t="s">
        <v>56</v>
      </c>
      <c r="B124" s="4" t="s">
        <v>47</v>
      </c>
      <c r="C124" s="4" t="s">
        <v>20</v>
      </c>
      <c r="D124" s="4" t="s">
        <v>41</v>
      </c>
      <c r="E124" s="4">
        <v>1014.56</v>
      </c>
      <c r="F124" s="4">
        <v>10</v>
      </c>
      <c r="G124" s="4">
        <v>0.1</v>
      </c>
      <c r="H124" s="5">
        <v>45612</v>
      </c>
      <c r="I124" s="4">
        <v>410.9</v>
      </c>
    </row>
    <row r="125" spans="1:9" ht="15.75" customHeight="1" x14ac:dyDescent="0.3">
      <c r="A125" s="4" t="s">
        <v>11</v>
      </c>
      <c r="B125" s="4" t="s">
        <v>19</v>
      </c>
      <c r="C125" s="4" t="s">
        <v>22</v>
      </c>
      <c r="D125" s="4" t="s">
        <v>23</v>
      </c>
      <c r="E125" s="4">
        <v>718.04</v>
      </c>
      <c r="F125" s="4">
        <v>14</v>
      </c>
      <c r="G125" s="4">
        <v>0</v>
      </c>
      <c r="H125" s="5">
        <v>45613</v>
      </c>
      <c r="I125" s="4">
        <v>179.51</v>
      </c>
    </row>
    <row r="126" spans="1:9" ht="15.75" customHeight="1" x14ac:dyDescent="0.3">
      <c r="A126" s="4" t="s">
        <v>74</v>
      </c>
      <c r="B126" s="4" t="s">
        <v>19</v>
      </c>
      <c r="C126" s="4" t="s">
        <v>36</v>
      </c>
      <c r="D126" s="4" t="s">
        <v>17</v>
      </c>
      <c r="E126" s="4">
        <v>1277.8499999999999</v>
      </c>
      <c r="F126" s="4">
        <v>18</v>
      </c>
      <c r="G126" s="4">
        <v>0.2</v>
      </c>
      <c r="H126" s="5">
        <v>45613</v>
      </c>
      <c r="I126" s="4">
        <v>511.14</v>
      </c>
    </row>
    <row r="127" spans="1:9" ht="15.75" customHeight="1" x14ac:dyDescent="0.3">
      <c r="A127" s="4" t="s">
        <v>72</v>
      </c>
      <c r="B127" s="4" t="s">
        <v>25</v>
      </c>
      <c r="C127" s="4" t="s">
        <v>26</v>
      </c>
      <c r="D127" s="4" t="s">
        <v>23</v>
      </c>
      <c r="E127" s="4">
        <v>706.73</v>
      </c>
      <c r="F127" s="4">
        <v>1</v>
      </c>
      <c r="G127" s="4">
        <v>0.15</v>
      </c>
      <c r="H127" s="5">
        <v>45613</v>
      </c>
      <c r="I127" s="4">
        <v>150.18</v>
      </c>
    </row>
    <row r="128" spans="1:9" ht="15.75" customHeight="1" x14ac:dyDescent="0.3">
      <c r="A128" s="4" t="s">
        <v>67</v>
      </c>
      <c r="B128" s="4" t="s">
        <v>52</v>
      </c>
      <c r="C128" s="4" t="s">
        <v>20</v>
      </c>
      <c r="D128" s="4" t="s">
        <v>23</v>
      </c>
      <c r="E128" s="4">
        <v>1410.59</v>
      </c>
      <c r="F128" s="4">
        <v>15</v>
      </c>
      <c r="G128" s="4">
        <v>0</v>
      </c>
      <c r="H128" s="5">
        <v>45615</v>
      </c>
      <c r="I128" s="4">
        <v>352.65</v>
      </c>
    </row>
    <row r="129" spans="1:9" ht="15.75" customHeight="1" x14ac:dyDescent="0.3">
      <c r="A129" s="4" t="s">
        <v>34</v>
      </c>
      <c r="B129" s="4" t="s">
        <v>63</v>
      </c>
      <c r="C129" s="4" t="s">
        <v>22</v>
      </c>
      <c r="D129" s="4" t="s">
        <v>29</v>
      </c>
      <c r="E129" s="4">
        <v>1350.33</v>
      </c>
      <c r="F129" s="4">
        <v>10</v>
      </c>
      <c r="G129" s="4">
        <v>0</v>
      </c>
      <c r="H129" s="5">
        <v>45615</v>
      </c>
      <c r="I129" s="4">
        <v>472.62</v>
      </c>
    </row>
    <row r="130" spans="1:9" ht="15.75" customHeight="1" x14ac:dyDescent="0.3">
      <c r="A130" s="4" t="s">
        <v>43</v>
      </c>
      <c r="B130" s="4" t="s">
        <v>47</v>
      </c>
      <c r="C130" s="4" t="s">
        <v>20</v>
      </c>
      <c r="D130" s="4" t="s">
        <v>23</v>
      </c>
      <c r="E130" s="4">
        <v>919.18</v>
      </c>
      <c r="F130" s="4">
        <v>4</v>
      </c>
      <c r="G130" s="4">
        <v>0.15</v>
      </c>
      <c r="H130" s="5">
        <v>45615</v>
      </c>
      <c r="I130" s="4">
        <v>195.33</v>
      </c>
    </row>
    <row r="131" spans="1:9" ht="15.75" customHeight="1" x14ac:dyDescent="0.3">
      <c r="A131" s="4" t="s">
        <v>76</v>
      </c>
      <c r="B131" s="4" t="s">
        <v>25</v>
      </c>
      <c r="C131" s="4" t="s">
        <v>13</v>
      </c>
      <c r="D131" s="4" t="s">
        <v>23</v>
      </c>
      <c r="E131" s="4">
        <v>258.51</v>
      </c>
      <c r="F131" s="4">
        <v>19</v>
      </c>
      <c r="G131" s="4">
        <v>0</v>
      </c>
      <c r="H131" s="5">
        <v>45616</v>
      </c>
      <c r="I131" s="4">
        <v>64.63</v>
      </c>
    </row>
    <row r="132" spans="1:9" ht="15.75" customHeight="1" x14ac:dyDescent="0.3">
      <c r="A132" s="4" t="s">
        <v>65</v>
      </c>
      <c r="B132" s="4" t="s">
        <v>63</v>
      </c>
      <c r="C132" s="4" t="s">
        <v>20</v>
      </c>
      <c r="D132" s="4" t="s">
        <v>14</v>
      </c>
      <c r="E132" s="4">
        <v>1213.48</v>
      </c>
      <c r="F132" s="4">
        <v>5</v>
      </c>
      <c r="G132" s="4">
        <v>0.05</v>
      </c>
      <c r="H132" s="5">
        <v>45616</v>
      </c>
      <c r="I132" s="4">
        <v>461.12</v>
      </c>
    </row>
    <row r="133" spans="1:9" ht="15.75" customHeight="1" x14ac:dyDescent="0.3">
      <c r="A133" s="4" t="s">
        <v>59</v>
      </c>
      <c r="B133" s="4" t="s">
        <v>40</v>
      </c>
      <c r="C133" s="4" t="s">
        <v>36</v>
      </c>
      <c r="D133" s="4" t="s">
        <v>14</v>
      </c>
      <c r="E133" s="4">
        <v>1150.28</v>
      </c>
      <c r="F133" s="4">
        <v>8</v>
      </c>
      <c r="G133" s="4">
        <v>0.05</v>
      </c>
      <c r="H133" s="5">
        <v>45622</v>
      </c>
      <c r="I133" s="4">
        <v>437.11</v>
      </c>
    </row>
    <row r="134" spans="1:9" ht="15.75" customHeight="1" x14ac:dyDescent="0.3">
      <c r="A134" s="4" t="s">
        <v>39</v>
      </c>
      <c r="B134" s="4" t="s">
        <v>73</v>
      </c>
      <c r="C134" s="4" t="s">
        <v>22</v>
      </c>
      <c r="D134" s="4" t="s">
        <v>29</v>
      </c>
      <c r="E134" s="4">
        <v>853.86</v>
      </c>
      <c r="F134" s="4">
        <v>8</v>
      </c>
      <c r="G134" s="4">
        <v>0.1</v>
      </c>
      <c r="H134" s="5">
        <v>45622</v>
      </c>
      <c r="I134" s="4">
        <v>268.97000000000003</v>
      </c>
    </row>
    <row r="135" spans="1:9" ht="15.75" customHeight="1" x14ac:dyDescent="0.3">
      <c r="A135" s="4" t="s">
        <v>77</v>
      </c>
      <c r="B135" s="4" t="s">
        <v>47</v>
      </c>
      <c r="C135" s="4" t="s">
        <v>22</v>
      </c>
      <c r="D135" s="4" t="s">
        <v>23</v>
      </c>
      <c r="E135" s="4">
        <v>1061.04</v>
      </c>
      <c r="F135" s="4">
        <v>1</v>
      </c>
      <c r="G135" s="4">
        <v>0</v>
      </c>
      <c r="H135" s="5">
        <v>45624</v>
      </c>
      <c r="I135" s="4">
        <v>265.26</v>
      </c>
    </row>
    <row r="136" spans="1:9" ht="15.75" customHeight="1" x14ac:dyDescent="0.3">
      <c r="A136" s="4" t="s">
        <v>30</v>
      </c>
      <c r="B136" s="4" t="s">
        <v>45</v>
      </c>
      <c r="C136" s="4" t="s">
        <v>13</v>
      </c>
      <c r="D136" s="4" t="s">
        <v>23</v>
      </c>
      <c r="E136" s="4">
        <v>894.55</v>
      </c>
      <c r="F136" s="4">
        <v>19</v>
      </c>
      <c r="G136" s="4">
        <v>0.2</v>
      </c>
      <c r="H136" s="5">
        <v>45625</v>
      </c>
      <c r="I136" s="4">
        <v>178.91</v>
      </c>
    </row>
    <row r="137" spans="1:9" ht="15.75" customHeight="1" x14ac:dyDescent="0.3">
      <c r="A137" s="4" t="s">
        <v>27</v>
      </c>
      <c r="B137" s="4" t="s">
        <v>40</v>
      </c>
      <c r="C137" s="4" t="s">
        <v>26</v>
      </c>
      <c r="D137" s="4" t="s">
        <v>41</v>
      </c>
      <c r="E137" s="4">
        <v>833.91</v>
      </c>
      <c r="F137" s="4">
        <v>3</v>
      </c>
      <c r="G137" s="4">
        <v>0.05</v>
      </c>
      <c r="H137" s="5">
        <v>45626</v>
      </c>
      <c r="I137" s="4">
        <v>356.5</v>
      </c>
    </row>
    <row r="138" spans="1:9" ht="15.75" customHeight="1" x14ac:dyDescent="0.3">
      <c r="A138" s="4" t="s">
        <v>60</v>
      </c>
      <c r="B138" s="4" t="s">
        <v>73</v>
      </c>
      <c r="C138" s="4" t="s">
        <v>13</v>
      </c>
      <c r="D138" s="4" t="s">
        <v>29</v>
      </c>
      <c r="E138" s="4">
        <v>820.19</v>
      </c>
      <c r="F138" s="4">
        <v>4</v>
      </c>
      <c r="G138" s="4">
        <v>0.2</v>
      </c>
      <c r="H138" s="5">
        <v>45630</v>
      </c>
      <c r="I138" s="4">
        <v>229.65</v>
      </c>
    </row>
    <row r="139" spans="1:9" ht="15.75" customHeight="1" x14ac:dyDescent="0.3">
      <c r="A139" s="4" t="s">
        <v>60</v>
      </c>
      <c r="B139" s="4" t="s">
        <v>40</v>
      </c>
      <c r="C139" s="4" t="s">
        <v>36</v>
      </c>
      <c r="D139" s="4" t="s">
        <v>23</v>
      </c>
      <c r="E139" s="4">
        <v>511.74</v>
      </c>
      <c r="F139" s="4">
        <v>8</v>
      </c>
      <c r="G139" s="4">
        <v>0.05</v>
      </c>
      <c r="H139" s="5">
        <v>45631</v>
      </c>
      <c r="I139" s="4">
        <v>121.54</v>
      </c>
    </row>
    <row r="140" spans="1:9" ht="15.75" customHeight="1" x14ac:dyDescent="0.3">
      <c r="A140" s="4" t="s">
        <v>67</v>
      </c>
      <c r="B140" s="4" t="s">
        <v>63</v>
      </c>
      <c r="C140" s="4" t="s">
        <v>22</v>
      </c>
      <c r="D140" s="4" t="s">
        <v>29</v>
      </c>
      <c r="E140" s="4">
        <v>806.03</v>
      </c>
      <c r="F140" s="4">
        <v>19</v>
      </c>
      <c r="G140" s="4">
        <v>0.05</v>
      </c>
      <c r="H140" s="5">
        <v>45638</v>
      </c>
      <c r="I140" s="4">
        <v>268</v>
      </c>
    </row>
    <row r="141" spans="1:9" ht="15.75" customHeight="1" x14ac:dyDescent="0.3">
      <c r="A141" s="4" t="s">
        <v>30</v>
      </c>
      <c r="B141" s="4" t="s">
        <v>28</v>
      </c>
      <c r="C141" s="4" t="s">
        <v>36</v>
      </c>
      <c r="D141" s="4" t="s">
        <v>29</v>
      </c>
      <c r="E141" s="4">
        <v>1432.47</v>
      </c>
      <c r="F141" s="4">
        <v>16</v>
      </c>
      <c r="G141" s="4">
        <v>0.15</v>
      </c>
      <c r="H141" s="5">
        <v>45640</v>
      </c>
      <c r="I141" s="4">
        <v>426.16</v>
      </c>
    </row>
    <row r="142" spans="1:9" ht="15.75" customHeight="1" x14ac:dyDescent="0.3">
      <c r="A142" s="4" t="s">
        <v>76</v>
      </c>
      <c r="B142" s="4" t="s">
        <v>31</v>
      </c>
      <c r="C142" s="4" t="s">
        <v>36</v>
      </c>
      <c r="D142" s="4" t="s">
        <v>23</v>
      </c>
      <c r="E142" s="4">
        <v>1488.58</v>
      </c>
      <c r="F142" s="4">
        <v>10</v>
      </c>
      <c r="G142" s="4">
        <v>0.15</v>
      </c>
      <c r="H142" s="5">
        <v>45640</v>
      </c>
      <c r="I142" s="4">
        <v>316.32</v>
      </c>
    </row>
    <row r="143" spans="1:9" ht="15.75" customHeight="1" x14ac:dyDescent="0.3">
      <c r="A143" s="4" t="s">
        <v>32</v>
      </c>
      <c r="B143" s="4" t="s">
        <v>68</v>
      </c>
      <c r="C143" s="4" t="s">
        <v>20</v>
      </c>
      <c r="D143" s="4" t="s">
        <v>14</v>
      </c>
      <c r="E143" s="4">
        <v>1231.26</v>
      </c>
      <c r="F143" s="4">
        <v>9</v>
      </c>
      <c r="G143" s="4">
        <v>0</v>
      </c>
      <c r="H143" s="5">
        <v>45646</v>
      </c>
      <c r="I143" s="4">
        <v>492.5</v>
      </c>
    </row>
    <row r="144" spans="1:9" ht="15.75" customHeight="1" x14ac:dyDescent="0.3">
      <c r="A144" s="4" t="s">
        <v>32</v>
      </c>
      <c r="B144" s="4" t="s">
        <v>45</v>
      </c>
      <c r="C144" s="4" t="s">
        <v>13</v>
      </c>
      <c r="D144" s="4" t="s">
        <v>23</v>
      </c>
      <c r="E144" s="4">
        <v>1161.67</v>
      </c>
      <c r="F144" s="4">
        <v>19</v>
      </c>
      <c r="G144" s="4">
        <v>0.2</v>
      </c>
      <c r="H144" s="5">
        <v>45647</v>
      </c>
      <c r="I144" s="4">
        <v>232.33</v>
      </c>
    </row>
    <row r="145" spans="1:9" ht="15.75" customHeight="1" x14ac:dyDescent="0.3">
      <c r="A145" s="4" t="s">
        <v>51</v>
      </c>
      <c r="B145" s="4" t="s">
        <v>47</v>
      </c>
      <c r="C145" s="4" t="s">
        <v>36</v>
      </c>
      <c r="D145" s="4" t="s">
        <v>41</v>
      </c>
      <c r="E145" s="4">
        <v>388.23</v>
      </c>
      <c r="F145" s="4">
        <v>16</v>
      </c>
      <c r="G145" s="4">
        <v>0.05</v>
      </c>
      <c r="H145" s="5">
        <v>45650</v>
      </c>
      <c r="I145" s="4">
        <v>165.97</v>
      </c>
    </row>
    <row r="146" spans="1:9" ht="15.75" customHeight="1" x14ac:dyDescent="0.3">
      <c r="A146" s="4" t="s">
        <v>74</v>
      </c>
      <c r="B146" s="4" t="s">
        <v>33</v>
      </c>
      <c r="C146" s="4" t="s">
        <v>26</v>
      </c>
      <c r="D146" s="4" t="s">
        <v>17</v>
      </c>
      <c r="E146" s="4">
        <v>1589.42</v>
      </c>
      <c r="F146" s="4">
        <v>6</v>
      </c>
      <c r="G146" s="4">
        <v>0.15</v>
      </c>
      <c r="H146" s="5">
        <v>45651</v>
      </c>
      <c r="I146" s="4">
        <v>675.5</v>
      </c>
    </row>
    <row r="147" spans="1:9" ht="15.75" customHeight="1" x14ac:dyDescent="0.3">
      <c r="A147" s="4" t="s">
        <v>30</v>
      </c>
      <c r="B147" s="4" t="s">
        <v>73</v>
      </c>
      <c r="C147" s="4" t="s">
        <v>26</v>
      </c>
      <c r="D147" s="4" t="s">
        <v>17</v>
      </c>
      <c r="E147" s="4">
        <v>336.66</v>
      </c>
      <c r="F147" s="4">
        <v>13</v>
      </c>
      <c r="G147" s="4">
        <v>0.2</v>
      </c>
      <c r="H147" s="5">
        <v>45651</v>
      </c>
      <c r="I147" s="4">
        <v>134.66</v>
      </c>
    </row>
    <row r="148" spans="1:9" ht="15.75" customHeight="1" x14ac:dyDescent="0.3">
      <c r="A148" s="4" t="s">
        <v>51</v>
      </c>
      <c r="B148" s="4" t="s">
        <v>25</v>
      </c>
      <c r="C148" s="4" t="s">
        <v>13</v>
      </c>
      <c r="D148" s="4" t="s">
        <v>14</v>
      </c>
      <c r="E148" s="4">
        <v>1353.79</v>
      </c>
      <c r="F148" s="4">
        <v>14</v>
      </c>
      <c r="G148" s="4">
        <v>0.1</v>
      </c>
      <c r="H148" s="5">
        <v>45656</v>
      </c>
      <c r="I148" s="4">
        <v>487.36</v>
      </c>
    </row>
    <row r="149" spans="1:9" ht="15.75" customHeight="1" x14ac:dyDescent="0.3">
      <c r="A149" s="4" t="s">
        <v>65</v>
      </c>
      <c r="B149" s="4" t="s">
        <v>71</v>
      </c>
      <c r="C149" s="4" t="s">
        <v>36</v>
      </c>
      <c r="D149" s="4" t="s">
        <v>17</v>
      </c>
      <c r="E149" s="4">
        <v>662.61</v>
      </c>
      <c r="F149" s="4">
        <v>11</v>
      </c>
      <c r="G149" s="4">
        <v>0.05</v>
      </c>
      <c r="H149" s="5">
        <v>45658</v>
      </c>
      <c r="I149" s="4">
        <v>314.74</v>
      </c>
    </row>
    <row r="150" spans="1:9" ht="15.75" customHeight="1" x14ac:dyDescent="0.3">
      <c r="A150" s="4" t="s">
        <v>54</v>
      </c>
      <c r="B150" s="4" t="s">
        <v>50</v>
      </c>
      <c r="C150" s="4" t="s">
        <v>26</v>
      </c>
      <c r="D150" s="4" t="s">
        <v>41</v>
      </c>
      <c r="E150" s="4">
        <v>309.42</v>
      </c>
      <c r="F150" s="4">
        <v>1</v>
      </c>
      <c r="G150" s="4">
        <v>0.2</v>
      </c>
      <c r="H150" s="5">
        <v>45658</v>
      </c>
      <c r="I150" s="4">
        <v>111.39</v>
      </c>
    </row>
    <row r="151" spans="1:9" ht="15.75" customHeight="1" x14ac:dyDescent="0.3">
      <c r="A151" s="4" t="s">
        <v>65</v>
      </c>
      <c r="B151" s="4" t="s">
        <v>31</v>
      </c>
      <c r="C151" s="4" t="s">
        <v>26</v>
      </c>
      <c r="D151" s="4" t="s">
        <v>14</v>
      </c>
      <c r="E151" s="4">
        <v>884.63</v>
      </c>
      <c r="F151" s="4">
        <v>18</v>
      </c>
      <c r="G151" s="4">
        <v>0.1</v>
      </c>
      <c r="H151" s="5">
        <v>45659</v>
      </c>
      <c r="I151" s="4">
        <v>318.47000000000003</v>
      </c>
    </row>
    <row r="152" spans="1:9" ht="15.75" customHeight="1" x14ac:dyDescent="0.3">
      <c r="A152" s="4" t="s">
        <v>54</v>
      </c>
      <c r="B152" s="4" t="s">
        <v>25</v>
      </c>
      <c r="C152" s="4" t="s">
        <v>36</v>
      </c>
      <c r="D152" s="4" t="s">
        <v>41</v>
      </c>
      <c r="E152" s="4">
        <v>745.05</v>
      </c>
      <c r="F152" s="4">
        <v>10</v>
      </c>
      <c r="G152" s="4">
        <v>0.1</v>
      </c>
      <c r="H152" s="5">
        <v>45660</v>
      </c>
      <c r="I152" s="4">
        <v>301.75</v>
      </c>
    </row>
    <row r="153" spans="1:9" ht="15.75" customHeight="1" x14ac:dyDescent="0.3">
      <c r="A153" s="4" t="s">
        <v>62</v>
      </c>
      <c r="B153" s="4" t="s">
        <v>19</v>
      </c>
      <c r="C153" s="4" t="s">
        <v>22</v>
      </c>
      <c r="D153" s="4" t="s">
        <v>17</v>
      </c>
      <c r="E153" s="4">
        <v>870.23</v>
      </c>
      <c r="F153" s="4">
        <v>5</v>
      </c>
      <c r="G153" s="4">
        <v>0.05</v>
      </c>
      <c r="H153" s="5">
        <v>45660</v>
      </c>
      <c r="I153" s="4">
        <v>413.36</v>
      </c>
    </row>
    <row r="154" spans="1:9" ht="15.75" customHeight="1" x14ac:dyDescent="0.3">
      <c r="A154" s="4" t="s">
        <v>37</v>
      </c>
      <c r="B154" s="4" t="s">
        <v>31</v>
      </c>
      <c r="C154" s="4" t="s">
        <v>13</v>
      </c>
      <c r="D154" s="4" t="s">
        <v>29</v>
      </c>
      <c r="E154" s="4">
        <v>862.19</v>
      </c>
      <c r="F154" s="4">
        <v>18</v>
      </c>
      <c r="G154" s="4">
        <v>0.05</v>
      </c>
      <c r="H154" s="5">
        <v>45663</v>
      </c>
      <c r="I154" s="4">
        <v>286.68</v>
      </c>
    </row>
    <row r="155" spans="1:9" ht="15.75" customHeight="1" x14ac:dyDescent="0.3">
      <c r="A155" s="4" t="s">
        <v>75</v>
      </c>
      <c r="B155" s="4" t="s">
        <v>61</v>
      </c>
      <c r="C155" s="4" t="s">
        <v>26</v>
      </c>
      <c r="D155" s="4" t="s">
        <v>17</v>
      </c>
      <c r="E155" s="4">
        <v>1171.18</v>
      </c>
      <c r="F155" s="4">
        <v>19</v>
      </c>
      <c r="G155" s="4">
        <v>0.05</v>
      </c>
      <c r="H155" s="5">
        <v>45667</v>
      </c>
      <c r="I155" s="4">
        <v>556.30999999999995</v>
      </c>
    </row>
    <row r="156" spans="1:9" ht="15.75" customHeight="1" x14ac:dyDescent="0.3">
      <c r="A156" s="4" t="s">
        <v>60</v>
      </c>
      <c r="B156" s="4" t="s">
        <v>16</v>
      </c>
      <c r="C156" s="4" t="s">
        <v>22</v>
      </c>
      <c r="D156" s="4" t="s">
        <v>29</v>
      </c>
      <c r="E156" s="4">
        <v>1054.56</v>
      </c>
      <c r="F156" s="4">
        <v>11</v>
      </c>
      <c r="G156" s="4">
        <v>0.1</v>
      </c>
      <c r="H156" s="5">
        <v>45669</v>
      </c>
      <c r="I156" s="4">
        <v>332.19</v>
      </c>
    </row>
    <row r="157" spans="1:9" ht="15.75" customHeight="1" x14ac:dyDescent="0.3">
      <c r="A157" s="4" t="s">
        <v>60</v>
      </c>
      <c r="B157" s="4" t="s">
        <v>25</v>
      </c>
      <c r="C157" s="4" t="s">
        <v>26</v>
      </c>
      <c r="D157" s="4" t="s">
        <v>23</v>
      </c>
      <c r="E157" s="4">
        <v>1681.21</v>
      </c>
      <c r="F157" s="4">
        <v>5</v>
      </c>
      <c r="G157" s="4">
        <v>0.2</v>
      </c>
      <c r="H157" s="5">
        <v>45670</v>
      </c>
      <c r="I157" s="4">
        <v>336.24</v>
      </c>
    </row>
    <row r="158" spans="1:9" ht="15.75" customHeight="1" x14ac:dyDescent="0.3">
      <c r="A158" s="4" t="s">
        <v>60</v>
      </c>
      <c r="B158" s="4" t="s">
        <v>38</v>
      </c>
      <c r="C158" s="4" t="s">
        <v>13</v>
      </c>
      <c r="D158" s="4" t="s">
        <v>17</v>
      </c>
      <c r="E158" s="4">
        <v>379.77</v>
      </c>
      <c r="F158" s="4">
        <v>9</v>
      </c>
      <c r="G158" s="4">
        <v>0.05</v>
      </c>
      <c r="H158" s="5">
        <v>45673</v>
      </c>
      <c r="I158" s="4">
        <v>180.39</v>
      </c>
    </row>
    <row r="159" spans="1:9" ht="15.75" customHeight="1" x14ac:dyDescent="0.3">
      <c r="A159" s="4" t="s">
        <v>46</v>
      </c>
      <c r="B159" s="4" t="s">
        <v>47</v>
      </c>
      <c r="C159" s="4" t="s">
        <v>36</v>
      </c>
      <c r="D159" s="4" t="s">
        <v>17</v>
      </c>
      <c r="E159" s="4">
        <v>1076.33</v>
      </c>
      <c r="F159" s="4">
        <v>2</v>
      </c>
      <c r="G159" s="4">
        <v>0.1</v>
      </c>
      <c r="H159" s="5">
        <v>45674</v>
      </c>
      <c r="I159" s="4">
        <v>484.35</v>
      </c>
    </row>
    <row r="160" spans="1:9" ht="15.75" customHeight="1" x14ac:dyDescent="0.3">
      <c r="A160" s="4" t="s">
        <v>46</v>
      </c>
      <c r="B160" s="4" t="s">
        <v>33</v>
      </c>
      <c r="C160" s="4" t="s">
        <v>36</v>
      </c>
      <c r="D160" s="4" t="s">
        <v>41</v>
      </c>
      <c r="E160" s="4">
        <v>1250.71</v>
      </c>
      <c r="F160" s="4">
        <v>7</v>
      </c>
      <c r="G160" s="4">
        <v>0</v>
      </c>
      <c r="H160" s="5">
        <v>45674</v>
      </c>
      <c r="I160" s="4">
        <v>562.82000000000005</v>
      </c>
    </row>
    <row r="161" spans="1:9" ht="15.75" customHeight="1" x14ac:dyDescent="0.3">
      <c r="A161" s="4" t="s">
        <v>42</v>
      </c>
      <c r="B161" s="4" t="s">
        <v>19</v>
      </c>
      <c r="C161" s="4" t="s">
        <v>22</v>
      </c>
      <c r="D161" s="4" t="s">
        <v>17</v>
      </c>
      <c r="E161" s="4">
        <v>1118.3399999999999</v>
      </c>
      <c r="F161" s="4">
        <v>6</v>
      </c>
      <c r="G161" s="4">
        <v>0.2</v>
      </c>
      <c r="H161" s="5">
        <v>45674</v>
      </c>
      <c r="I161" s="4">
        <v>447.34</v>
      </c>
    </row>
    <row r="162" spans="1:9" ht="15.75" customHeight="1" x14ac:dyDescent="0.3">
      <c r="A162" s="4" t="s">
        <v>72</v>
      </c>
      <c r="B162" s="4" t="s">
        <v>55</v>
      </c>
      <c r="C162" s="4" t="s">
        <v>26</v>
      </c>
      <c r="D162" s="4" t="s">
        <v>17</v>
      </c>
      <c r="E162" s="4">
        <v>1622.62</v>
      </c>
      <c r="F162" s="4">
        <v>12</v>
      </c>
      <c r="G162" s="4">
        <v>0.2</v>
      </c>
      <c r="H162" s="5">
        <v>45677</v>
      </c>
      <c r="I162" s="4">
        <v>649.04999999999995</v>
      </c>
    </row>
    <row r="163" spans="1:9" ht="15.75" customHeight="1" x14ac:dyDescent="0.3">
      <c r="A163" s="4" t="s">
        <v>77</v>
      </c>
      <c r="B163" s="4" t="s">
        <v>50</v>
      </c>
      <c r="C163" s="4" t="s">
        <v>26</v>
      </c>
      <c r="D163" s="4" t="s">
        <v>14</v>
      </c>
      <c r="E163" s="4">
        <v>640.64</v>
      </c>
      <c r="F163" s="4">
        <v>11</v>
      </c>
      <c r="G163" s="4">
        <v>0.2</v>
      </c>
      <c r="H163" s="5">
        <v>45678</v>
      </c>
      <c r="I163" s="4">
        <v>205</v>
      </c>
    </row>
    <row r="164" spans="1:9" ht="15.75" customHeight="1" x14ac:dyDescent="0.3">
      <c r="A164" s="4" t="s">
        <v>24</v>
      </c>
      <c r="B164" s="4" t="s">
        <v>45</v>
      </c>
      <c r="C164" s="4" t="s">
        <v>13</v>
      </c>
      <c r="D164" s="4" t="s">
        <v>17</v>
      </c>
      <c r="E164" s="4">
        <v>585.16</v>
      </c>
      <c r="F164" s="4">
        <v>17</v>
      </c>
      <c r="G164" s="4">
        <v>0.1</v>
      </c>
      <c r="H164" s="5">
        <v>45684</v>
      </c>
      <c r="I164" s="4">
        <v>263.32</v>
      </c>
    </row>
    <row r="165" spans="1:9" ht="15.75" customHeight="1" x14ac:dyDescent="0.3">
      <c r="A165" s="4" t="s">
        <v>24</v>
      </c>
      <c r="B165" s="4" t="s">
        <v>33</v>
      </c>
      <c r="C165" s="4" t="s">
        <v>20</v>
      </c>
      <c r="D165" s="4" t="s">
        <v>17</v>
      </c>
      <c r="E165" s="4">
        <v>1109.98</v>
      </c>
      <c r="F165" s="4">
        <v>5</v>
      </c>
      <c r="G165" s="4">
        <v>0.2</v>
      </c>
      <c r="H165" s="5">
        <v>45690</v>
      </c>
      <c r="I165" s="4">
        <v>443.99</v>
      </c>
    </row>
    <row r="166" spans="1:9" ht="15.75" customHeight="1" x14ac:dyDescent="0.3">
      <c r="A166" s="4" t="s">
        <v>60</v>
      </c>
      <c r="B166" s="4" t="s">
        <v>47</v>
      </c>
      <c r="C166" s="4" t="s">
        <v>20</v>
      </c>
      <c r="D166" s="4" t="s">
        <v>14</v>
      </c>
      <c r="E166" s="4">
        <v>1098.08</v>
      </c>
      <c r="F166" s="4">
        <v>9</v>
      </c>
      <c r="G166" s="4">
        <v>0.1</v>
      </c>
      <c r="H166" s="5">
        <v>45692</v>
      </c>
      <c r="I166" s="4">
        <v>395.31</v>
      </c>
    </row>
    <row r="167" spans="1:9" ht="15.75" customHeight="1" x14ac:dyDescent="0.3">
      <c r="A167" s="4" t="s">
        <v>67</v>
      </c>
      <c r="B167" s="4" t="s">
        <v>50</v>
      </c>
      <c r="C167" s="4" t="s">
        <v>13</v>
      </c>
      <c r="D167" s="4" t="s">
        <v>41</v>
      </c>
      <c r="E167" s="4">
        <v>827.25</v>
      </c>
      <c r="F167" s="4">
        <v>7</v>
      </c>
      <c r="G167" s="4">
        <v>0.1</v>
      </c>
      <c r="H167" s="5">
        <v>45693</v>
      </c>
      <c r="I167" s="4">
        <v>335.04</v>
      </c>
    </row>
    <row r="168" spans="1:9" ht="15.75" customHeight="1" x14ac:dyDescent="0.3">
      <c r="A168" s="4" t="s">
        <v>72</v>
      </c>
      <c r="B168" s="4" t="s">
        <v>31</v>
      </c>
      <c r="C168" s="4" t="s">
        <v>36</v>
      </c>
      <c r="D168" s="4" t="s">
        <v>17</v>
      </c>
      <c r="E168" s="4">
        <v>741.88</v>
      </c>
      <c r="F168" s="4">
        <v>16</v>
      </c>
      <c r="G168" s="4">
        <v>0.1</v>
      </c>
      <c r="H168" s="5">
        <v>45695</v>
      </c>
      <c r="I168" s="4">
        <v>333.85</v>
      </c>
    </row>
    <row r="169" spans="1:9" ht="15.75" customHeight="1" x14ac:dyDescent="0.3">
      <c r="A169" s="4" t="s">
        <v>74</v>
      </c>
      <c r="B169" s="4" t="s">
        <v>12</v>
      </c>
      <c r="C169" s="4" t="s">
        <v>20</v>
      </c>
      <c r="D169" s="4" t="s">
        <v>41</v>
      </c>
      <c r="E169" s="4">
        <v>1311.26</v>
      </c>
      <c r="F169" s="4">
        <v>6</v>
      </c>
      <c r="G169" s="4">
        <v>0.1</v>
      </c>
      <c r="H169" s="5">
        <v>45698</v>
      </c>
      <c r="I169" s="4">
        <v>531.05999999999995</v>
      </c>
    </row>
    <row r="170" spans="1:9" ht="15.75" customHeight="1" x14ac:dyDescent="0.3">
      <c r="A170" s="4" t="s">
        <v>74</v>
      </c>
      <c r="B170" s="4" t="s">
        <v>33</v>
      </c>
      <c r="C170" s="4" t="s">
        <v>22</v>
      </c>
      <c r="D170" s="4" t="s">
        <v>41</v>
      </c>
      <c r="E170" s="4">
        <v>573.32000000000005</v>
      </c>
      <c r="F170" s="4">
        <v>19</v>
      </c>
      <c r="G170" s="4">
        <v>0.1</v>
      </c>
      <c r="H170" s="5">
        <v>45703</v>
      </c>
      <c r="I170" s="4">
        <v>232.19</v>
      </c>
    </row>
    <row r="171" spans="1:9" ht="15.75" customHeight="1" x14ac:dyDescent="0.3">
      <c r="A171" s="4" t="s">
        <v>54</v>
      </c>
      <c r="B171" s="4" t="s">
        <v>25</v>
      </c>
      <c r="C171" s="4" t="s">
        <v>13</v>
      </c>
      <c r="D171" s="4" t="s">
        <v>23</v>
      </c>
      <c r="E171" s="4">
        <v>1115.22</v>
      </c>
      <c r="F171" s="4">
        <v>14</v>
      </c>
      <c r="G171" s="4">
        <v>0.2</v>
      </c>
      <c r="H171" s="5">
        <v>45705</v>
      </c>
      <c r="I171" s="4">
        <v>223.04</v>
      </c>
    </row>
    <row r="172" spans="1:9" ht="15.75" customHeight="1" x14ac:dyDescent="0.3">
      <c r="A172" s="4" t="s">
        <v>15</v>
      </c>
      <c r="B172" s="4" t="s">
        <v>47</v>
      </c>
      <c r="C172" s="4" t="s">
        <v>26</v>
      </c>
      <c r="D172" s="4" t="s">
        <v>17</v>
      </c>
      <c r="E172" s="4">
        <v>845.84</v>
      </c>
      <c r="F172" s="4">
        <v>4</v>
      </c>
      <c r="G172" s="4">
        <v>0</v>
      </c>
      <c r="H172" s="5">
        <v>45707</v>
      </c>
      <c r="I172" s="4">
        <v>422.92</v>
      </c>
    </row>
    <row r="173" spans="1:9" ht="15.75" customHeight="1" x14ac:dyDescent="0.3">
      <c r="A173" s="4" t="s">
        <v>32</v>
      </c>
      <c r="B173" s="4" t="s">
        <v>57</v>
      </c>
      <c r="C173" s="4" t="s">
        <v>13</v>
      </c>
      <c r="D173" s="4" t="s">
        <v>23</v>
      </c>
      <c r="E173" s="4">
        <v>1029.8</v>
      </c>
      <c r="F173" s="4">
        <v>3</v>
      </c>
      <c r="G173" s="4">
        <v>0</v>
      </c>
      <c r="H173" s="5">
        <v>45708</v>
      </c>
      <c r="I173" s="4">
        <v>257.45</v>
      </c>
    </row>
    <row r="174" spans="1:9" ht="15.75" customHeight="1" x14ac:dyDescent="0.3">
      <c r="A174" s="4" t="s">
        <v>34</v>
      </c>
      <c r="B174" s="4" t="s">
        <v>33</v>
      </c>
      <c r="C174" s="4" t="s">
        <v>26</v>
      </c>
      <c r="D174" s="4" t="s">
        <v>14</v>
      </c>
      <c r="E174" s="4">
        <v>1189.83</v>
      </c>
      <c r="F174" s="4">
        <v>2</v>
      </c>
      <c r="G174" s="4">
        <v>0.2</v>
      </c>
      <c r="H174" s="5">
        <v>45709</v>
      </c>
      <c r="I174" s="4">
        <v>380.75</v>
      </c>
    </row>
    <row r="175" spans="1:9" ht="15.75" customHeight="1" x14ac:dyDescent="0.3">
      <c r="A175" s="4" t="s">
        <v>69</v>
      </c>
      <c r="B175" s="4" t="s">
        <v>45</v>
      </c>
      <c r="C175" s="4" t="s">
        <v>22</v>
      </c>
      <c r="D175" s="4" t="s">
        <v>14</v>
      </c>
      <c r="E175" s="4">
        <v>704.28</v>
      </c>
      <c r="F175" s="4">
        <v>15</v>
      </c>
      <c r="G175" s="4">
        <v>0.2</v>
      </c>
      <c r="H175" s="5">
        <v>45712</v>
      </c>
      <c r="I175" s="4">
        <v>225.37</v>
      </c>
    </row>
    <row r="176" spans="1:9" ht="15.75" customHeight="1" x14ac:dyDescent="0.3">
      <c r="A176" s="4" t="s">
        <v>67</v>
      </c>
      <c r="B176" s="4" t="s">
        <v>49</v>
      </c>
      <c r="C176" s="4" t="s">
        <v>36</v>
      </c>
      <c r="D176" s="4" t="s">
        <v>41</v>
      </c>
      <c r="E176" s="4">
        <v>1618.22</v>
      </c>
      <c r="F176" s="4">
        <v>12</v>
      </c>
      <c r="G176" s="4">
        <v>0.2</v>
      </c>
      <c r="H176" s="5">
        <v>45712</v>
      </c>
      <c r="I176" s="4">
        <v>582.55999999999995</v>
      </c>
    </row>
    <row r="177" spans="1:9" ht="15.75" customHeight="1" x14ac:dyDescent="0.3">
      <c r="A177" s="4" t="s">
        <v>75</v>
      </c>
      <c r="B177" s="4" t="s">
        <v>55</v>
      </c>
      <c r="C177" s="4" t="s">
        <v>36</v>
      </c>
      <c r="D177" s="4" t="s">
        <v>14</v>
      </c>
      <c r="E177" s="4">
        <v>1014.43</v>
      </c>
      <c r="F177" s="4">
        <v>2</v>
      </c>
      <c r="G177" s="4">
        <v>0.15</v>
      </c>
      <c r="H177" s="5">
        <v>45713</v>
      </c>
      <c r="I177" s="4">
        <v>344.91</v>
      </c>
    </row>
    <row r="178" spans="1:9" ht="15.75" customHeight="1" x14ac:dyDescent="0.3">
      <c r="A178" s="4" t="s">
        <v>77</v>
      </c>
      <c r="B178" s="4" t="s">
        <v>33</v>
      </c>
      <c r="C178" s="4" t="s">
        <v>36</v>
      </c>
      <c r="D178" s="4" t="s">
        <v>17</v>
      </c>
      <c r="E178" s="4">
        <v>826.97</v>
      </c>
      <c r="F178" s="4">
        <v>18</v>
      </c>
      <c r="G178" s="4">
        <v>0.2</v>
      </c>
      <c r="H178" s="5">
        <v>45715</v>
      </c>
      <c r="I178" s="4">
        <v>330.79</v>
      </c>
    </row>
    <row r="179" spans="1:9" ht="15.75" customHeight="1" x14ac:dyDescent="0.3">
      <c r="A179" s="4" t="s">
        <v>18</v>
      </c>
      <c r="B179" s="4" t="s">
        <v>33</v>
      </c>
      <c r="C179" s="4" t="s">
        <v>36</v>
      </c>
      <c r="D179" s="4" t="s">
        <v>17</v>
      </c>
      <c r="E179" s="4">
        <v>1022.23</v>
      </c>
      <c r="F179" s="4">
        <v>8</v>
      </c>
      <c r="G179" s="4">
        <v>0.1</v>
      </c>
      <c r="H179" s="5">
        <v>45717</v>
      </c>
      <c r="I179" s="4">
        <v>460</v>
      </c>
    </row>
    <row r="180" spans="1:9" ht="15.75" customHeight="1" x14ac:dyDescent="0.3">
      <c r="A180" s="4" t="s">
        <v>74</v>
      </c>
      <c r="B180" s="4" t="s">
        <v>31</v>
      </c>
      <c r="C180" s="4" t="s">
        <v>20</v>
      </c>
      <c r="D180" s="4" t="s">
        <v>14</v>
      </c>
      <c r="E180" s="4">
        <v>1099.69</v>
      </c>
      <c r="F180" s="4">
        <v>6</v>
      </c>
      <c r="G180" s="4">
        <v>0</v>
      </c>
      <c r="H180" s="5">
        <v>45718</v>
      </c>
      <c r="I180" s="4">
        <v>439.88</v>
      </c>
    </row>
    <row r="181" spans="1:9" ht="15.75" customHeight="1" x14ac:dyDescent="0.3">
      <c r="A181" s="4" t="s">
        <v>54</v>
      </c>
      <c r="B181" s="4" t="s">
        <v>66</v>
      </c>
      <c r="C181" s="4" t="s">
        <v>26</v>
      </c>
      <c r="D181" s="4" t="s">
        <v>14</v>
      </c>
      <c r="E181" s="4">
        <v>710.52</v>
      </c>
      <c r="F181" s="4">
        <v>8</v>
      </c>
      <c r="G181" s="4">
        <v>0.1</v>
      </c>
      <c r="H181" s="5">
        <v>45721</v>
      </c>
      <c r="I181" s="4">
        <v>255.79</v>
      </c>
    </row>
    <row r="182" spans="1:9" ht="15.75" customHeight="1" x14ac:dyDescent="0.3">
      <c r="A182" s="4" t="s">
        <v>54</v>
      </c>
      <c r="B182" s="4" t="s">
        <v>61</v>
      </c>
      <c r="C182" s="4" t="s">
        <v>26</v>
      </c>
      <c r="D182" s="4" t="s">
        <v>14</v>
      </c>
      <c r="E182" s="4">
        <v>499.18</v>
      </c>
      <c r="F182" s="4">
        <v>15</v>
      </c>
      <c r="G182" s="4">
        <v>0.2</v>
      </c>
      <c r="H182" s="5">
        <v>45724</v>
      </c>
      <c r="I182" s="4">
        <v>159.74</v>
      </c>
    </row>
    <row r="183" spans="1:9" ht="15.75" customHeight="1" x14ac:dyDescent="0.3">
      <c r="A183" s="4" t="s">
        <v>39</v>
      </c>
      <c r="B183" s="4" t="s">
        <v>40</v>
      </c>
      <c r="C183" s="4" t="s">
        <v>22</v>
      </c>
      <c r="D183" s="4" t="s">
        <v>14</v>
      </c>
      <c r="E183" s="4">
        <v>1064.19</v>
      </c>
      <c r="F183" s="4">
        <v>18</v>
      </c>
      <c r="G183" s="4">
        <v>0.05</v>
      </c>
      <c r="H183" s="5">
        <v>45725</v>
      </c>
      <c r="I183" s="4">
        <v>404.39</v>
      </c>
    </row>
    <row r="184" spans="1:9" ht="15.75" customHeight="1" x14ac:dyDescent="0.3">
      <c r="A184" s="4" t="s">
        <v>69</v>
      </c>
      <c r="B184" s="4" t="s">
        <v>40</v>
      </c>
      <c r="C184" s="4" t="s">
        <v>20</v>
      </c>
      <c r="D184" s="4" t="s">
        <v>41</v>
      </c>
      <c r="E184" s="4">
        <v>438.76</v>
      </c>
      <c r="F184" s="4">
        <v>18</v>
      </c>
      <c r="G184" s="4">
        <v>0.05</v>
      </c>
      <c r="H184" s="5">
        <v>45726</v>
      </c>
      <c r="I184" s="4">
        <v>187.57</v>
      </c>
    </row>
    <row r="185" spans="1:9" ht="15.75" customHeight="1" x14ac:dyDescent="0.3">
      <c r="A185" s="4" t="s">
        <v>43</v>
      </c>
      <c r="B185" s="4" t="s">
        <v>57</v>
      </c>
      <c r="C185" s="4" t="s">
        <v>13</v>
      </c>
      <c r="D185" s="4" t="s">
        <v>17</v>
      </c>
      <c r="E185" s="4">
        <v>864.98</v>
      </c>
      <c r="F185" s="4">
        <v>2</v>
      </c>
      <c r="G185" s="4">
        <v>0.05</v>
      </c>
      <c r="H185" s="5">
        <v>45727</v>
      </c>
      <c r="I185" s="4">
        <v>410.87</v>
      </c>
    </row>
    <row r="186" spans="1:9" ht="15.75" customHeight="1" x14ac:dyDescent="0.3">
      <c r="A186" s="4" t="s">
        <v>59</v>
      </c>
      <c r="B186" s="4" t="s">
        <v>57</v>
      </c>
      <c r="C186" s="4" t="s">
        <v>13</v>
      </c>
      <c r="D186" s="4" t="s">
        <v>29</v>
      </c>
      <c r="E186" s="4">
        <v>984.93</v>
      </c>
      <c r="F186" s="4">
        <v>14</v>
      </c>
      <c r="G186" s="4">
        <v>0.2</v>
      </c>
      <c r="H186" s="5">
        <v>45733</v>
      </c>
      <c r="I186" s="4">
        <v>275.77999999999997</v>
      </c>
    </row>
    <row r="187" spans="1:9" ht="15.75" customHeight="1" x14ac:dyDescent="0.3">
      <c r="A187" s="4" t="s">
        <v>27</v>
      </c>
      <c r="B187" s="4" t="s">
        <v>57</v>
      </c>
      <c r="C187" s="4" t="s">
        <v>13</v>
      </c>
      <c r="D187" s="4" t="s">
        <v>17</v>
      </c>
      <c r="E187" s="4">
        <v>1493.49</v>
      </c>
      <c r="F187" s="4">
        <v>18</v>
      </c>
      <c r="G187" s="4">
        <v>0</v>
      </c>
      <c r="H187" s="5">
        <v>45734</v>
      </c>
      <c r="I187" s="4">
        <v>746.74</v>
      </c>
    </row>
    <row r="188" spans="1:9" ht="15.75" customHeight="1" x14ac:dyDescent="0.3">
      <c r="A188" s="4" t="s">
        <v>34</v>
      </c>
      <c r="B188" s="4" t="s">
        <v>55</v>
      </c>
      <c r="C188" s="4" t="s">
        <v>22</v>
      </c>
      <c r="D188" s="4" t="s">
        <v>17</v>
      </c>
      <c r="E188" s="4">
        <v>689.43</v>
      </c>
      <c r="F188" s="4">
        <v>9</v>
      </c>
      <c r="G188" s="4">
        <v>0.1</v>
      </c>
      <c r="H188" s="5">
        <v>45736</v>
      </c>
      <c r="I188" s="4">
        <v>310.24</v>
      </c>
    </row>
    <row r="189" spans="1:9" ht="15.75" customHeight="1" x14ac:dyDescent="0.3">
      <c r="A189" s="4" t="s">
        <v>42</v>
      </c>
      <c r="B189" s="4" t="s">
        <v>61</v>
      </c>
      <c r="C189" s="4" t="s">
        <v>22</v>
      </c>
      <c r="D189" s="4" t="s">
        <v>17</v>
      </c>
      <c r="E189" s="4">
        <v>682.24</v>
      </c>
      <c r="F189" s="4">
        <v>1</v>
      </c>
      <c r="G189" s="4">
        <v>0</v>
      </c>
      <c r="H189" s="5">
        <v>45738</v>
      </c>
      <c r="I189" s="4">
        <v>341.12</v>
      </c>
    </row>
    <row r="190" spans="1:9" ht="15.75" customHeight="1" x14ac:dyDescent="0.3">
      <c r="A190" s="4" t="s">
        <v>43</v>
      </c>
      <c r="B190" s="4" t="s">
        <v>28</v>
      </c>
      <c r="C190" s="4" t="s">
        <v>26</v>
      </c>
      <c r="D190" s="4" t="s">
        <v>23</v>
      </c>
      <c r="E190" s="4">
        <v>458.54</v>
      </c>
      <c r="F190" s="4">
        <v>15</v>
      </c>
      <c r="G190" s="4">
        <v>0.2</v>
      </c>
      <c r="H190" s="5">
        <v>45741</v>
      </c>
      <c r="I190" s="4">
        <v>91.71</v>
      </c>
    </row>
    <row r="191" spans="1:9" ht="15.75" customHeight="1" x14ac:dyDescent="0.3">
      <c r="A191" s="4" t="s">
        <v>34</v>
      </c>
      <c r="B191" s="4" t="s">
        <v>28</v>
      </c>
      <c r="C191" s="4" t="s">
        <v>22</v>
      </c>
      <c r="D191" s="4" t="s">
        <v>29</v>
      </c>
      <c r="E191" s="4">
        <v>1184.25</v>
      </c>
      <c r="F191" s="4">
        <v>11</v>
      </c>
      <c r="G191" s="4">
        <v>0.2</v>
      </c>
      <c r="H191" s="5">
        <v>45742</v>
      </c>
      <c r="I191" s="4">
        <v>331.59</v>
      </c>
    </row>
    <row r="192" spans="1:9" ht="15.75" customHeight="1" x14ac:dyDescent="0.3">
      <c r="A192" s="4" t="s">
        <v>27</v>
      </c>
      <c r="B192" s="4" t="s">
        <v>12</v>
      </c>
      <c r="C192" s="4" t="s">
        <v>22</v>
      </c>
      <c r="D192" s="4" t="s">
        <v>17</v>
      </c>
      <c r="E192" s="4">
        <v>762.14</v>
      </c>
      <c r="F192" s="4">
        <v>9</v>
      </c>
      <c r="G192" s="4">
        <v>0</v>
      </c>
      <c r="H192" s="5">
        <v>45743</v>
      </c>
      <c r="I192" s="4">
        <v>381.07</v>
      </c>
    </row>
    <row r="193" spans="1:9" ht="15.75" customHeight="1" x14ac:dyDescent="0.3">
      <c r="A193" s="4" t="s">
        <v>24</v>
      </c>
      <c r="B193" s="4" t="s">
        <v>55</v>
      </c>
      <c r="C193" s="4" t="s">
        <v>26</v>
      </c>
      <c r="D193" s="4" t="s">
        <v>14</v>
      </c>
      <c r="E193" s="4">
        <v>750.71</v>
      </c>
      <c r="F193" s="4">
        <v>10</v>
      </c>
      <c r="G193" s="4">
        <v>0.15</v>
      </c>
      <c r="H193" s="5">
        <v>45743</v>
      </c>
      <c r="I193" s="4">
        <v>255.24</v>
      </c>
    </row>
    <row r="194" spans="1:9" ht="15.75" customHeight="1" x14ac:dyDescent="0.3">
      <c r="A194" s="4" t="s">
        <v>77</v>
      </c>
      <c r="B194" s="4" t="s">
        <v>73</v>
      </c>
      <c r="C194" s="4" t="s">
        <v>36</v>
      </c>
      <c r="D194" s="4" t="s">
        <v>17</v>
      </c>
      <c r="E194" s="4">
        <v>1456.94</v>
      </c>
      <c r="F194" s="4">
        <v>14</v>
      </c>
      <c r="G194" s="4">
        <v>0.05</v>
      </c>
      <c r="H194" s="5">
        <v>45745</v>
      </c>
      <c r="I194" s="4">
        <v>692.05</v>
      </c>
    </row>
    <row r="195" spans="1:9" ht="15.75" customHeight="1" x14ac:dyDescent="0.3">
      <c r="A195" s="4" t="s">
        <v>46</v>
      </c>
      <c r="B195" s="4" t="s">
        <v>63</v>
      </c>
      <c r="C195" s="4" t="s">
        <v>20</v>
      </c>
      <c r="D195" s="4" t="s">
        <v>29</v>
      </c>
      <c r="E195" s="4">
        <v>1093.3800000000001</v>
      </c>
      <c r="F195" s="4">
        <v>17</v>
      </c>
      <c r="G195" s="4">
        <v>0.1</v>
      </c>
      <c r="H195" s="5">
        <v>45745</v>
      </c>
      <c r="I195" s="4">
        <v>344.41</v>
      </c>
    </row>
    <row r="196" spans="1:9" ht="15.75" customHeight="1" x14ac:dyDescent="0.3">
      <c r="A196" s="4" t="s">
        <v>39</v>
      </c>
      <c r="B196" s="4" t="s">
        <v>45</v>
      </c>
      <c r="C196" s="4" t="s">
        <v>13</v>
      </c>
      <c r="D196" s="4" t="s">
        <v>17</v>
      </c>
      <c r="E196" s="4">
        <v>934.27</v>
      </c>
      <c r="F196" s="4">
        <v>8</v>
      </c>
      <c r="G196" s="4">
        <v>0.15</v>
      </c>
      <c r="H196" s="5">
        <v>45746</v>
      </c>
      <c r="I196" s="4">
        <v>397.06</v>
      </c>
    </row>
    <row r="197" spans="1:9" ht="15.75" customHeight="1" x14ac:dyDescent="0.3">
      <c r="A197" s="4" t="s">
        <v>72</v>
      </c>
      <c r="B197" s="4" t="s">
        <v>38</v>
      </c>
      <c r="C197" s="4" t="s">
        <v>36</v>
      </c>
      <c r="D197" s="4" t="s">
        <v>17</v>
      </c>
      <c r="E197" s="4">
        <v>1465.35</v>
      </c>
      <c r="F197" s="4">
        <v>8</v>
      </c>
      <c r="G197" s="4">
        <v>0.2</v>
      </c>
      <c r="H197" s="5">
        <v>45746</v>
      </c>
      <c r="I197" s="4">
        <v>586.14</v>
      </c>
    </row>
    <row r="198" spans="1:9" ht="15.75" customHeight="1" x14ac:dyDescent="0.3">
      <c r="A198" s="4" t="s">
        <v>54</v>
      </c>
      <c r="B198" s="4" t="s">
        <v>16</v>
      </c>
      <c r="C198" s="4" t="s">
        <v>22</v>
      </c>
      <c r="D198" s="4" t="s">
        <v>41</v>
      </c>
      <c r="E198" s="4">
        <v>740.8</v>
      </c>
      <c r="F198" s="4">
        <v>3</v>
      </c>
      <c r="G198" s="4">
        <v>0</v>
      </c>
      <c r="H198" s="5">
        <v>45749</v>
      </c>
      <c r="I198" s="4">
        <v>333.36</v>
      </c>
    </row>
    <row r="199" spans="1:9" ht="15.75" customHeight="1" x14ac:dyDescent="0.3">
      <c r="A199" s="4" t="s">
        <v>60</v>
      </c>
      <c r="B199" s="4" t="s">
        <v>45</v>
      </c>
      <c r="C199" s="4" t="s">
        <v>13</v>
      </c>
      <c r="D199" s="4" t="s">
        <v>41</v>
      </c>
      <c r="E199" s="4">
        <v>545.44000000000005</v>
      </c>
      <c r="F199" s="4">
        <v>17</v>
      </c>
      <c r="G199" s="4">
        <v>0</v>
      </c>
      <c r="H199" s="5">
        <v>45752</v>
      </c>
      <c r="I199" s="4">
        <v>245.45</v>
      </c>
    </row>
    <row r="200" spans="1:9" ht="15.75" customHeight="1" x14ac:dyDescent="0.3">
      <c r="A200" s="4" t="s">
        <v>37</v>
      </c>
      <c r="B200" s="4" t="s">
        <v>38</v>
      </c>
      <c r="C200" s="4" t="s">
        <v>20</v>
      </c>
      <c r="D200" s="4" t="s">
        <v>14</v>
      </c>
      <c r="E200" s="4">
        <v>997.61</v>
      </c>
      <c r="F200" s="4">
        <v>8</v>
      </c>
      <c r="G200" s="4">
        <v>0.05</v>
      </c>
      <c r="H200" s="5">
        <v>45752</v>
      </c>
      <c r="I200" s="4">
        <v>379.09</v>
      </c>
    </row>
    <row r="201" spans="1:9" ht="15.75" customHeight="1" x14ac:dyDescent="0.3">
      <c r="A201" s="4" t="s">
        <v>62</v>
      </c>
      <c r="B201" s="4" t="s">
        <v>38</v>
      </c>
      <c r="C201" s="4" t="s">
        <v>22</v>
      </c>
      <c r="D201" s="4" t="s">
        <v>17</v>
      </c>
      <c r="E201" s="4">
        <v>928.32</v>
      </c>
      <c r="F201" s="4">
        <v>2</v>
      </c>
      <c r="G201" s="4">
        <v>0.05</v>
      </c>
      <c r="H201" s="5">
        <v>45754</v>
      </c>
      <c r="I201" s="4">
        <v>440.95</v>
      </c>
    </row>
    <row r="202" spans="1:9" ht="15.75" customHeight="1" x14ac:dyDescent="0.3"/>
    <row r="203" spans="1:9" ht="15.75" customHeight="1" x14ac:dyDescent="0.3"/>
    <row r="204" spans="1:9" ht="15.75" customHeight="1" x14ac:dyDescent="0.3"/>
    <row r="205" spans="1:9" ht="15.75" customHeight="1" x14ac:dyDescent="0.3"/>
    <row r="206" spans="1:9" ht="15.75" customHeight="1" x14ac:dyDescent="0.3"/>
    <row r="207" spans="1:9" ht="15.75" customHeight="1" x14ac:dyDescent="0.3"/>
    <row r="208" spans="1:9"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CFB3-8E0A-41E0-9C0D-8F9C07D07078}">
  <dimension ref="A3:B34"/>
  <sheetViews>
    <sheetView topLeftCell="A8" workbookViewId="0">
      <selection activeCell="C4" sqref="C4"/>
    </sheetView>
  </sheetViews>
  <sheetFormatPr defaultRowHeight="14.4" x14ac:dyDescent="0.3"/>
  <cols>
    <col min="1" max="1" width="12.5546875" bestFit="1" customWidth="1"/>
    <col min="2" max="2" width="11.6640625" bestFit="1" customWidth="1"/>
  </cols>
  <sheetData>
    <row r="3" spans="1:2" x14ac:dyDescent="0.3">
      <c r="A3" s="10" t="s">
        <v>120</v>
      </c>
      <c r="B3" t="s">
        <v>122</v>
      </c>
    </row>
    <row r="4" spans="1:2" x14ac:dyDescent="0.3">
      <c r="A4" s="11" t="s">
        <v>60</v>
      </c>
      <c r="B4">
        <v>11611.060000000001</v>
      </c>
    </row>
    <row r="5" spans="1:2" x14ac:dyDescent="0.3">
      <c r="A5" s="11" t="s">
        <v>54</v>
      </c>
      <c r="B5">
        <v>10293.870000000001</v>
      </c>
    </row>
    <row r="6" spans="1:2" x14ac:dyDescent="0.3">
      <c r="A6" s="11" t="s">
        <v>27</v>
      </c>
      <c r="B6">
        <v>9941.8799999999992</v>
      </c>
    </row>
    <row r="7" spans="1:2" x14ac:dyDescent="0.3">
      <c r="A7" s="11" t="s">
        <v>46</v>
      </c>
      <c r="B7">
        <v>9760.7999999999993</v>
      </c>
    </row>
    <row r="8" spans="1:2" x14ac:dyDescent="0.3">
      <c r="A8" s="11" t="s">
        <v>32</v>
      </c>
      <c r="B8">
        <v>9371.81</v>
      </c>
    </row>
    <row r="9" spans="1:2" x14ac:dyDescent="0.3">
      <c r="A9" s="11" t="s">
        <v>59</v>
      </c>
      <c r="B9">
        <v>8740.18</v>
      </c>
    </row>
    <row r="10" spans="1:2" x14ac:dyDescent="0.3">
      <c r="A10" s="11" t="s">
        <v>69</v>
      </c>
      <c r="B10">
        <v>8490.18</v>
      </c>
    </row>
    <row r="11" spans="1:2" x14ac:dyDescent="0.3">
      <c r="A11" s="11" t="s">
        <v>15</v>
      </c>
      <c r="B11">
        <v>8339</v>
      </c>
    </row>
    <row r="12" spans="1:2" x14ac:dyDescent="0.3">
      <c r="A12" s="11" t="s">
        <v>24</v>
      </c>
      <c r="B12">
        <v>7928.71</v>
      </c>
    </row>
    <row r="13" spans="1:2" x14ac:dyDescent="0.3">
      <c r="A13" s="11" t="s">
        <v>74</v>
      </c>
      <c r="B13">
        <v>7813.59</v>
      </c>
    </row>
    <row r="14" spans="1:2" x14ac:dyDescent="0.3">
      <c r="A14" s="11" t="s">
        <v>72</v>
      </c>
      <c r="B14">
        <v>7583.1299999999992</v>
      </c>
    </row>
    <row r="15" spans="1:2" x14ac:dyDescent="0.3">
      <c r="A15" s="11" t="s">
        <v>39</v>
      </c>
      <c r="B15">
        <v>6729.8899999999994</v>
      </c>
    </row>
    <row r="16" spans="1:2" x14ac:dyDescent="0.3">
      <c r="A16" s="11" t="s">
        <v>56</v>
      </c>
      <c r="B16">
        <v>6716.52</v>
      </c>
    </row>
    <row r="17" spans="1:2" x14ac:dyDescent="0.3">
      <c r="A17" s="11" t="s">
        <v>21</v>
      </c>
      <c r="B17">
        <v>6666.130000000001</v>
      </c>
    </row>
    <row r="18" spans="1:2" x14ac:dyDescent="0.3">
      <c r="A18" s="11" t="s">
        <v>30</v>
      </c>
      <c r="B18">
        <v>6549.55</v>
      </c>
    </row>
    <row r="19" spans="1:2" x14ac:dyDescent="0.3">
      <c r="A19" s="11" t="s">
        <v>34</v>
      </c>
      <c r="B19">
        <v>6505.2</v>
      </c>
    </row>
    <row r="20" spans="1:2" x14ac:dyDescent="0.3">
      <c r="A20" s="11" t="s">
        <v>67</v>
      </c>
      <c r="B20">
        <v>6481.43</v>
      </c>
    </row>
    <row r="21" spans="1:2" x14ac:dyDescent="0.3">
      <c r="A21" s="11" t="s">
        <v>42</v>
      </c>
      <c r="B21">
        <v>5913.68</v>
      </c>
    </row>
    <row r="22" spans="1:2" x14ac:dyDescent="0.3">
      <c r="A22" s="11" t="s">
        <v>43</v>
      </c>
      <c r="B22">
        <v>5779.05</v>
      </c>
    </row>
    <row r="23" spans="1:2" x14ac:dyDescent="0.3">
      <c r="A23" s="11" t="s">
        <v>77</v>
      </c>
      <c r="B23">
        <v>4951.8899999999994</v>
      </c>
    </row>
    <row r="24" spans="1:2" x14ac:dyDescent="0.3">
      <c r="A24" s="11" t="s">
        <v>11</v>
      </c>
      <c r="B24">
        <v>4640.1099999999997</v>
      </c>
    </row>
    <row r="25" spans="1:2" x14ac:dyDescent="0.3">
      <c r="A25" s="11" t="s">
        <v>51</v>
      </c>
      <c r="B25">
        <v>4418.2800000000007</v>
      </c>
    </row>
    <row r="26" spans="1:2" x14ac:dyDescent="0.3">
      <c r="A26" s="11" t="s">
        <v>70</v>
      </c>
      <c r="B26">
        <v>4413.71</v>
      </c>
    </row>
    <row r="27" spans="1:2" x14ac:dyDescent="0.3">
      <c r="A27" s="11" t="s">
        <v>37</v>
      </c>
      <c r="B27">
        <v>4259.22</v>
      </c>
    </row>
    <row r="28" spans="1:2" x14ac:dyDescent="0.3">
      <c r="A28" s="11" t="s">
        <v>75</v>
      </c>
      <c r="B28">
        <v>4162.4400000000005</v>
      </c>
    </row>
    <row r="29" spans="1:2" x14ac:dyDescent="0.3">
      <c r="A29" s="11" t="s">
        <v>76</v>
      </c>
      <c r="B29">
        <v>3906.04</v>
      </c>
    </row>
    <row r="30" spans="1:2" x14ac:dyDescent="0.3">
      <c r="A30" s="11" t="s">
        <v>65</v>
      </c>
      <c r="B30">
        <v>3762.2900000000004</v>
      </c>
    </row>
    <row r="31" spans="1:2" x14ac:dyDescent="0.3">
      <c r="A31" s="11" t="s">
        <v>18</v>
      </c>
      <c r="B31">
        <v>3419.2</v>
      </c>
    </row>
    <row r="32" spans="1:2" x14ac:dyDescent="0.3">
      <c r="A32" s="11" t="s">
        <v>62</v>
      </c>
      <c r="B32">
        <v>3369.17</v>
      </c>
    </row>
    <row r="33" spans="1:2" x14ac:dyDescent="0.3">
      <c r="A33" s="11" t="s">
        <v>48</v>
      </c>
      <c r="B33">
        <v>2699.75</v>
      </c>
    </row>
    <row r="34" spans="1:2" x14ac:dyDescent="0.3">
      <c r="A34" s="11" t="s">
        <v>121</v>
      </c>
      <c r="B34">
        <v>195217.75999999995</v>
      </c>
    </row>
  </sheetData>
  <conditionalFormatting pivot="1" sqref="B4:B33">
    <cfRule type="top10" dxfId="3"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697E0-3379-4FB2-AE4A-7AC0884F991E}">
  <dimension ref="A1:B7"/>
  <sheetViews>
    <sheetView workbookViewId="0">
      <selection activeCell="B7" sqref="B7"/>
    </sheetView>
  </sheetViews>
  <sheetFormatPr defaultRowHeight="14.4" x14ac:dyDescent="0.3"/>
  <cols>
    <col min="1" max="1" width="28.109375" bestFit="1" customWidth="1"/>
    <col min="2" max="2" width="19" bestFit="1" customWidth="1"/>
  </cols>
  <sheetData>
    <row r="1" spans="1:2" ht="23.4" x14ac:dyDescent="0.45">
      <c r="A1" s="12" t="s">
        <v>123</v>
      </c>
    </row>
    <row r="2" spans="1:2" x14ac:dyDescent="0.3">
      <c r="A2" s="6"/>
    </row>
    <row r="3" spans="1:2" x14ac:dyDescent="0.3">
      <c r="A3" s="14" t="s">
        <v>78</v>
      </c>
      <c r="B3" s="15">
        <f>SUM(Dataset!E:E)</f>
        <v>195217.75999999992</v>
      </c>
    </row>
    <row r="4" spans="1:2" x14ac:dyDescent="0.3">
      <c r="A4" s="16" t="s">
        <v>124</v>
      </c>
      <c r="B4" s="15">
        <f>SUM(Dataset!I:I)</f>
        <v>68287.010000000009</v>
      </c>
    </row>
    <row r="5" spans="1:2" x14ac:dyDescent="0.3">
      <c r="A5" s="16" t="s">
        <v>125</v>
      </c>
      <c r="B5" s="17">
        <f>AVERAGE(Dataset!G:G)</f>
        <v>9.7250000000000003E-2</v>
      </c>
    </row>
    <row r="6" spans="1:2" x14ac:dyDescent="0.3">
      <c r="A6" s="16" t="s">
        <v>79</v>
      </c>
      <c r="B6" s="14">
        <v>0.1</v>
      </c>
    </row>
    <row r="7" spans="1:2" x14ac:dyDescent="0.3">
      <c r="A7" s="16" t="s">
        <v>126</v>
      </c>
      <c r="B7" s="15">
        <f>B4+(B5-B6)*B3</f>
        <v>67750.161160000003</v>
      </c>
    </row>
  </sheetData>
  <scenarios current="0" show="0" sqref="B7">
    <scenario name="Base Case" locked="1" count="1" user="Shrey patel" comment="Created by Shrey patel on 29-10-2026">
      <inputCells r="B6" val="0.1" numFmtId="9"/>
    </scenario>
    <scenario name="Best Case" locked="1" count="1" user="Shrey patel" comment="Created by Shrey patel on 29-10-2026">
      <inputCells r="B6" val="0.05" numFmtId="9"/>
    </scenario>
    <scenario name="Worst Case" locked="1" count="1" user="Shrey patel" comment="Created by Shrey patel on 29-10-2026">
      <inputCells r="B6" val="0.2" numFmtId="9"/>
    </scenario>
  </scenario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E62B-DA98-44D9-8389-661B1D120EB9}">
  <sheetPr>
    <outlinePr summaryBelow="0"/>
  </sheetPr>
  <dimension ref="B1:G11"/>
  <sheetViews>
    <sheetView showGridLines="0" workbookViewId="0"/>
  </sheetViews>
  <sheetFormatPr defaultRowHeight="14.4" outlineLevelRow="1" outlineLevelCol="1" x14ac:dyDescent="0.3"/>
  <cols>
    <col min="3" max="3" width="5.109375" bestFit="1" customWidth="1"/>
    <col min="4" max="7" width="13.109375" bestFit="1" customWidth="1" outlineLevel="1"/>
  </cols>
  <sheetData>
    <row r="1" spans="2:7" ht="15" thickBot="1" x14ac:dyDescent="0.35"/>
    <row r="2" spans="2:7" ht="15.6" x14ac:dyDescent="0.3">
      <c r="B2" s="21" t="s">
        <v>133</v>
      </c>
      <c r="C2" s="21"/>
      <c r="D2" s="26"/>
      <c r="E2" s="26"/>
      <c r="F2" s="26"/>
      <c r="G2" s="26"/>
    </row>
    <row r="3" spans="2:7" ht="15.6" collapsed="1" x14ac:dyDescent="0.3">
      <c r="B3" s="20"/>
      <c r="C3" s="20"/>
      <c r="D3" s="27" t="s">
        <v>135</v>
      </c>
      <c r="E3" s="27" t="s">
        <v>129</v>
      </c>
      <c r="F3" s="27" t="s">
        <v>131</v>
      </c>
      <c r="G3" s="27" t="s">
        <v>132</v>
      </c>
    </row>
    <row r="4" spans="2:7" ht="30.6" hidden="1" outlineLevel="1" x14ac:dyDescent="0.3">
      <c r="B4" s="23"/>
      <c r="C4" s="23"/>
      <c r="E4" s="29" t="s">
        <v>130</v>
      </c>
      <c r="F4" s="29" t="s">
        <v>130</v>
      </c>
      <c r="G4" s="29" t="s">
        <v>130</v>
      </c>
    </row>
    <row r="5" spans="2:7" x14ac:dyDescent="0.3">
      <c r="B5" s="24" t="s">
        <v>134</v>
      </c>
      <c r="C5" s="24"/>
      <c r="D5" s="22"/>
      <c r="E5" s="22"/>
      <c r="F5" s="22"/>
      <c r="G5" s="22"/>
    </row>
    <row r="6" spans="2:7" outlineLevel="1" x14ac:dyDescent="0.3">
      <c r="B6" s="23"/>
      <c r="C6" s="23" t="s">
        <v>127</v>
      </c>
      <c r="D6" s="6">
        <v>0.1</v>
      </c>
      <c r="E6" s="28">
        <v>0.1</v>
      </c>
      <c r="F6" s="28">
        <v>0.05</v>
      </c>
      <c r="G6" s="28">
        <v>0.2</v>
      </c>
    </row>
    <row r="7" spans="2:7" x14ac:dyDescent="0.3">
      <c r="B7" s="24" t="s">
        <v>136</v>
      </c>
      <c r="C7" s="24"/>
      <c r="D7" s="22"/>
      <c r="E7" s="22"/>
      <c r="F7" s="22"/>
      <c r="G7" s="22"/>
    </row>
    <row r="8" spans="2:7" ht="15" outlineLevel="1" thickBot="1" x14ac:dyDescent="0.35">
      <c r="B8" s="25"/>
      <c r="C8" s="25" t="s">
        <v>128</v>
      </c>
      <c r="D8" s="19">
        <v>67750.161160000003</v>
      </c>
      <c r="E8" s="19">
        <v>67750.161160000003</v>
      </c>
      <c r="F8" s="19">
        <v>77511.049159999995</v>
      </c>
      <c r="G8" s="19">
        <v>48228.385159999998</v>
      </c>
    </row>
    <row r="9" spans="2:7" x14ac:dyDescent="0.3">
      <c r="B9" t="s">
        <v>137</v>
      </c>
    </row>
    <row r="10" spans="2:7" x14ac:dyDescent="0.3">
      <c r="B10" t="s">
        <v>138</v>
      </c>
    </row>
    <row r="11" spans="2:7" x14ac:dyDescent="0.3">
      <c r="B11" t="s">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3A96-CFB8-496B-8A40-A8B51AACE721}">
  <dimension ref="A1:L224"/>
  <sheetViews>
    <sheetView workbookViewId="0">
      <selection activeCell="G112" sqref="G112"/>
    </sheetView>
  </sheetViews>
  <sheetFormatPr defaultRowHeight="14.4" x14ac:dyDescent="0.3"/>
  <cols>
    <col min="4" max="4" width="17.44140625" bestFit="1" customWidth="1"/>
    <col min="5" max="5" width="14.21875" bestFit="1" customWidth="1"/>
    <col min="6" max="6" width="13.44140625" bestFit="1" customWidth="1"/>
    <col min="7" max="7" width="12.6640625" bestFit="1" customWidth="1"/>
    <col min="8" max="8" width="12" bestFit="1" customWidth="1"/>
    <col min="9" max="9" width="12.6640625" bestFit="1" customWidth="1"/>
    <col min="10" max="10" width="12" bestFit="1" customWidth="1"/>
    <col min="11" max="11" width="12.6640625" bestFit="1" customWidth="1"/>
    <col min="12" max="12" width="12.109375" bestFit="1" customWidth="1"/>
  </cols>
  <sheetData>
    <row r="1" spans="1:12" ht="18" x14ac:dyDescent="0.35">
      <c r="A1" s="30" t="s">
        <v>6</v>
      </c>
      <c r="B1" s="30" t="s">
        <v>10</v>
      </c>
      <c r="D1" t="s">
        <v>80</v>
      </c>
    </row>
    <row r="2" spans="1:12" ht="15" thickBot="1" x14ac:dyDescent="0.35">
      <c r="A2" s="31">
        <v>1036.0899999999999</v>
      </c>
      <c r="B2" s="31">
        <v>331.55</v>
      </c>
    </row>
    <row r="3" spans="1:12" x14ac:dyDescent="0.3">
      <c r="A3" s="31">
        <v>1101.28</v>
      </c>
      <c r="B3" s="31">
        <v>440.51</v>
      </c>
      <c r="D3" s="33" t="s">
        <v>81</v>
      </c>
      <c r="E3" s="33"/>
    </row>
    <row r="4" spans="1:12" x14ac:dyDescent="0.3">
      <c r="A4" s="31">
        <v>713.34</v>
      </c>
      <c r="B4" s="31">
        <v>285.33999999999997</v>
      </c>
      <c r="D4" t="s">
        <v>82</v>
      </c>
      <c r="E4">
        <v>0.77340306414342619</v>
      </c>
    </row>
    <row r="5" spans="1:12" x14ac:dyDescent="0.3">
      <c r="A5" s="31">
        <v>760.93</v>
      </c>
      <c r="B5" s="31">
        <v>161.69999999999999</v>
      </c>
      <c r="D5" t="s">
        <v>83</v>
      </c>
      <c r="E5">
        <v>0.59815229962644056</v>
      </c>
    </row>
    <row r="6" spans="1:12" x14ac:dyDescent="0.3">
      <c r="A6" s="31">
        <v>847</v>
      </c>
      <c r="B6" s="31">
        <v>271.04000000000002</v>
      </c>
      <c r="D6" t="s">
        <v>84</v>
      </c>
      <c r="E6">
        <v>0.59612276578617007</v>
      </c>
    </row>
    <row r="7" spans="1:12" x14ac:dyDescent="0.3">
      <c r="A7" s="31">
        <v>965.64</v>
      </c>
      <c r="B7" s="31">
        <v>304.18</v>
      </c>
      <c r="D7" t="s">
        <v>85</v>
      </c>
      <c r="E7">
        <v>86.281230529665166</v>
      </c>
    </row>
    <row r="8" spans="1:12" ht="15" thickBot="1" x14ac:dyDescent="0.35">
      <c r="A8" s="31">
        <v>1317.53</v>
      </c>
      <c r="B8" s="31">
        <v>312.91000000000003</v>
      </c>
      <c r="D8" s="18" t="s">
        <v>86</v>
      </c>
      <c r="E8" s="18">
        <v>200</v>
      </c>
    </row>
    <row r="9" spans="1:12" x14ac:dyDescent="0.3">
      <c r="A9" s="31">
        <v>1074.47</v>
      </c>
      <c r="B9" s="31">
        <v>300.85000000000002</v>
      </c>
    </row>
    <row r="10" spans="1:12" ht="15" thickBot="1" x14ac:dyDescent="0.35">
      <c r="A10" s="31">
        <v>501.54</v>
      </c>
      <c r="B10" s="31">
        <v>190.59</v>
      </c>
      <c r="D10" t="s">
        <v>87</v>
      </c>
    </row>
    <row r="11" spans="1:12" x14ac:dyDescent="0.3">
      <c r="A11" s="31">
        <v>737.31</v>
      </c>
      <c r="B11" s="31">
        <v>350.22</v>
      </c>
      <c r="D11" s="32"/>
      <c r="E11" s="32" t="s">
        <v>92</v>
      </c>
      <c r="F11" s="32" t="s">
        <v>93</v>
      </c>
      <c r="G11" s="32" t="s">
        <v>94</v>
      </c>
      <c r="H11" s="32" t="s">
        <v>95</v>
      </c>
      <c r="I11" s="32" t="s">
        <v>96</v>
      </c>
    </row>
    <row r="12" spans="1:12" x14ac:dyDescent="0.3">
      <c r="A12" s="31">
        <v>1572.82</v>
      </c>
      <c r="B12" s="31">
        <v>672.38</v>
      </c>
      <c r="D12" t="s">
        <v>88</v>
      </c>
      <c r="E12">
        <v>1</v>
      </c>
      <c r="F12">
        <v>2194058.1833402822</v>
      </c>
      <c r="G12">
        <v>2194058.1833402822</v>
      </c>
      <c r="H12">
        <v>294.72398427548114</v>
      </c>
      <c r="I12">
        <v>4.6269367558910499E-41</v>
      </c>
    </row>
    <row r="13" spans="1:12" x14ac:dyDescent="0.3">
      <c r="A13" s="31">
        <v>1343.13</v>
      </c>
      <c r="B13" s="31">
        <v>456.66</v>
      </c>
      <c r="D13" t="s">
        <v>89</v>
      </c>
      <c r="E13">
        <v>198</v>
      </c>
      <c r="F13">
        <v>1474001.2468592182</v>
      </c>
      <c r="G13">
        <v>7444.4507417132236</v>
      </c>
    </row>
    <row r="14" spans="1:12" ht="15" thickBot="1" x14ac:dyDescent="0.35">
      <c r="A14" s="31">
        <v>1191.58</v>
      </c>
      <c r="B14" s="31">
        <v>452.8</v>
      </c>
      <c r="D14" s="18" t="s">
        <v>90</v>
      </c>
      <c r="E14" s="18">
        <v>199</v>
      </c>
      <c r="F14" s="18">
        <v>3668059.4301995002</v>
      </c>
      <c r="G14" s="18"/>
      <c r="H14" s="18"/>
      <c r="I14" s="18"/>
    </row>
    <row r="15" spans="1:12" ht="15" thickBot="1" x14ac:dyDescent="0.35">
      <c r="A15" s="31">
        <v>822.28</v>
      </c>
      <c r="B15" s="31">
        <v>273.41000000000003</v>
      </c>
    </row>
    <row r="16" spans="1:12" x14ac:dyDescent="0.3">
      <c r="A16" s="31">
        <v>521.66999999999996</v>
      </c>
      <c r="B16" s="31">
        <v>155.19999999999999</v>
      </c>
      <c r="D16" s="32"/>
      <c r="E16" s="32" t="s">
        <v>97</v>
      </c>
      <c r="F16" s="32" t="s">
        <v>85</v>
      </c>
      <c r="G16" s="32" t="s">
        <v>98</v>
      </c>
      <c r="H16" s="32" t="s">
        <v>99</v>
      </c>
      <c r="I16" s="32" t="s">
        <v>100</v>
      </c>
      <c r="J16" s="32" t="s">
        <v>101</v>
      </c>
      <c r="K16" s="32" t="s">
        <v>102</v>
      </c>
      <c r="L16" s="32" t="s">
        <v>103</v>
      </c>
    </row>
    <row r="17" spans="1:12" x14ac:dyDescent="0.3">
      <c r="A17" s="31">
        <v>1502.93</v>
      </c>
      <c r="B17" s="31">
        <v>300.58999999999997</v>
      </c>
      <c r="D17" t="s">
        <v>91</v>
      </c>
      <c r="E17">
        <v>-1.0315504901911368</v>
      </c>
      <c r="F17">
        <v>20.860617005445505</v>
      </c>
      <c r="G17">
        <v>-4.9449663445805959E-2</v>
      </c>
      <c r="H17">
        <v>0.96061079696907459</v>
      </c>
      <c r="I17">
        <v>-42.169051823378965</v>
      </c>
      <c r="J17">
        <v>40.105950842996691</v>
      </c>
      <c r="K17">
        <v>-42.169051823378965</v>
      </c>
      <c r="L17">
        <v>40.105950842996691</v>
      </c>
    </row>
    <row r="18" spans="1:12" ht="15" thickBot="1" x14ac:dyDescent="0.35">
      <c r="A18" s="31">
        <v>877.58</v>
      </c>
      <c r="B18" s="31">
        <v>298.38</v>
      </c>
      <c r="D18" s="18" t="s">
        <v>6</v>
      </c>
      <c r="E18" s="18">
        <v>0.35085598819512254</v>
      </c>
      <c r="F18" s="18">
        <v>2.0437188630135626E-2</v>
      </c>
      <c r="G18" s="18">
        <v>17.167527028535048</v>
      </c>
      <c r="H18" s="18">
        <v>4.6269367558907868E-41</v>
      </c>
      <c r="I18" s="18">
        <v>0.31055349501865764</v>
      </c>
      <c r="J18" s="18">
        <v>0.39115848137158743</v>
      </c>
      <c r="K18" s="18">
        <v>0.31055349501865764</v>
      </c>
      <c r="L18" s="18">
        <v>0.39115848137158743</v>
      </c>
    </row>
    <row r="19" spans="1:12" x14ac:dyDescent="0.3">
      <c r="A19" s="31">
        <v>636.70000000000005</v>
      </c>
      <c r="B19" s="31">
        <v>203.74</v>
      </c>
    </row>
    <row r="20" spans="1:12" x14ac:dyDescent="0.3">
      <c r="A20" s="31">
        <v>1506.14</v>
      </c>
      <c r="B20" s="31">
        <v>481.96</v>
      </c>
    </row>
    <row r="21" spans="1:12" x14ac:dyDescent="0.3">
      <c r="A21" s="31">
        <v>645.02</v>
      </c>
      <c r="B21" s="31">
        <v>161.26</v>
      </c>
    </row>
    <row r="22" spans="1:12" x14ac:dyDescent="0.3">
      <c r="A22" s="31">
        <v>953.3</v>
      </c>
      <c r="B22" s="31">
        <v>476.65</v>
      </c>
      <c r="D22" t="s">
        <v>140</v>
      </c>
    </row>
    <row r="23" spans="1:12" ht="15" thickBot="1" x14ac:dyDescent="0.35">
      <c r="A23" s="31">
        <v>388.56</v>
      </c>
      <c r="B23" s="31">
        <v>82.57</v>
      </c>
    </row>
    <row r="24" spans="1:12" x14ac:dyDescent="0.3">
      <c r="A24" s="31">
        <v>743.17</v>
      </c>
      <c r="B24" s="31">
        <v>297.27</v>
      </c>
      <c r="D24" s="32" t="s">
        <v>141</v>
      </c>
      <c r="E24" s="32" t="s">
        <v>142</v>
      </c>
      <c r="F24" s="32" t="s">
        <v>143</v>
      </c>
    </row>
    <row r="25" spans="1:12" x14ac:dyDescent="0.3">
      <c r="A25" s="31">
        <v>706.37</v>
      </c>
      <c r="B25" s="31">
        <v>176.59</v>
      </c>
      <c r="D25">
        <v>1</v>
      </c>
      <c r="E25">
        <v>362.48683031889334</v>
      </c>
      <c r="F25">
        <v>-30.936830318893328</v>
      </c>
    </row>
    <row r="26" spans="1:12" x14ac:dyDescent="0.3">
      <c r="A26" s="31">
        <v>925.31</v>
      </c>
      <c r="B26" s="31">
        <v>374.75</v>
      </c>
      <c r="D26">
        <v>2</v>
      </c>
      <c r="E26">
        <v>385.35913218933342</v>
      </c>
      <c r="F26">
        <v>55.150867810666568</v>
      </c>
    </row>
    <row r="27" spans="1:12" x14ac:dyDescent="0.3">
      <c r="A27" s="31">
        <v>1173.1199999999999</v>
      </c>
      <c r="B27" s="31">
        <v>293.27999999999997</v>
      </c>
      <c r="D27">
        <v>3</v>
      </c>
      <c r="E27">
        <v>249.24806012891759</v>
      </c>
      <c r="F27">
        <v>36.091939871082388</v>
      </c>
    </row>
    <row r="28" spans="1:12" x14ac:dyDescent="0.3">
      <c r="A28" s="31">
        <v>675.54</v>
      </c>
      <c r="B28" s="31">
        <v>236.44</v>
      </c>
      <c r="D28">
        <v>4</v>
      </c>
      <c r="E28">
        <v>265.94529660712345</v>
      </c>
      <c r="F28">
        <v>-104.24529660712346</v>
      </c>
    </row>
    <row r="29" spans="1:12" x14ac:dyDescent="0.3">
      <c r="A29" s="31">
        <v>939.09</v>
      </c>
      <c r="B29" s="31">
        <v>356.85</v>
      </c>
      <c r="D29">
        <v>5</v>
      </c>
      <c r="E29">
        <v>296.14347151107768</v>
      </c>
      <c r="F29">
        <v>-25.103471511077657</v>
      </c>
    </row>
    <row r="30" spans="1:12" x14ac:dyDescent="0.3">
      <c r="A30" s="31">
        <v>983.34</v>
      </c>
      <c r="B30" s="31">
        <v>398.25</v>
      </c>
      <c r="D30">
        <v>6</v>
      </c>
      <c r="E30">
        <v>337.76902595054696</v>
      </c>
      <c r="F30">
        <v>-33.589025950546954</v>
      </c>
    </row>
    <row r="31" spans="1:12" x14ac:dyDescent="0.3">
      <c r="A31" s="31">
        <v>801.21</v>
      </c>
      <c r="B31" s="31">
        <v>160.24</v>
      </c>
      <c r="D31">
        <v>7</v>
      </c>
      <c r="E31">
        <v>461.23173963652863</v>
      </c>
      <c r="F31">
        <v>-148.3217396365286</v>
      </c>
    </row>
    <row r="32" spans="1:12" x14ac:dyDescent="0.3">
      <c r="A32" s="31">
        <v>1450.71</v>
      </c>
      <c r="B32" s="31">
        <v>326.41000000000003</v>
      </c>
      <c r="D32">
        <v>8</v>
      </c>
      <c r="E32">
        <v>375.95268314582216</v>
      </c>
      <c r="F32">
        <v>-75.102683145822141</v>
      </c>
    </row>
    <row r="33" spans="1:6" x14ac:dyDescent="0.3">
      <c r="A33" s="31">
        <v>1023.21</v>
      </c>
      <c r="B33" s="31">
        <v>388.82</v>
      </c>
      <c r="D33">
        <v>9</v>
      </c>
      <c r="E33">
        <v>174.93676182919063</v>
      </c>
      <c r="F33">
        <v>15.653238170809374</v>
      </c>
    </row>
    <row r="34" spans="1:6" x14ac:dyDescent="0.3">
      <c r="A34" s="31">
        <v>853.72</v>
      </c>
      <c r="B34" s="31">
        <v>253.98</v>
      </c>
      <c r="D34">
        <v>10</v>
      </c>
      <c r="E34">
        <v>257.65807816595463</v>
      </c>
      <c r="F34">
        <v>92.561921834045393</v>
      </c>
    </row>
    <row r="35" spans="1:6" x14ac:dyDescent="0.3">
      <c r="A35" s="31">
        <v>967.89</v>
      </c>
      <c r="B35" s="31">
        <v>217.78</v>
      </c>
      <c r="D35">
        <v>11</v>
      </c>
      <c r="E35">
        <v>550.80176486286155</v>
      </c>
      <c r="F35">
        <v>121.57823513713845</v>
      </c>
    </row>
    <row r="36" spans="1:6" x14ac:dyDescent="0.3">
      <c r="A36" s="31">
        <v>1200.9000000000001</v>
      </c>
      <c r="B36" s="31">
        <v>513.38</v>
      </c>
      <c r="D36">
        <v>12</v>
      </c>
      <c r="E36">
        <v>470.21365293432382</v>
      </c>
      <c r="F36">
        <v>-13.553652934323793</v>
      </c>
    </row>
    <row r="37" spans="1:6" x14ac:dyDescent="0.3">
      <c r="A37" s="31">
        <v>472.38</v>
      </c>
      <c r="B37" s="31">
        <v>151.16</v>
      </c>
      <c r="D37">
        <v>13</v>
      </c>
      <c r="E37">
        <v>417.04142792335296</v>
      </c>
      <c r="F37">
        <v>35.758572076647056</v>
      </c>
    </row>
    <row r="38" spans="1:6" x14ac:dyDescent="0.3">
      <c r="A38" s="31">
        <v>840.92</v>
      </c>
      <c r="B38" s="31">
        <v>359.49</v>
      </c>
      <c r="D38">
        <v>14</v>
      </c>
      <c r="E38">
        <v>287.4703114828942</v>
      </c>
      <c r="F38">
        <v>-14.060311482894178</v>
      </c>
    </row>
    <row r="39" spans="1:6" x14ac:dyDescent="0.3">
      <c r="A39" s="31">
        <v>1410.06</v>
      </c>
      <c r="B39" s="31">
        <v>468.84</v>
      </c>
      <c r="D39">
        <v>15</v>
      </c>
      <c r="E39">
        <v>181.99949287155843</v>
      </c>
      <c r="F39">
        <v>-26.799492871558442</v>
      </c>
    </row>
    <row r="40" spans="1:6" x14ac:dyDescent="0.3">
      <c r="A40" s="31">
        <v>773.09</v>
      </c>
      <c r="B40" s="31">
        <v>229.99</v>
      </c>
      <c r="D40">
        <v>16</v>
      </c>
      <c r="E40">
        <v>526.28043984790429</v>
      </c>
      <c r="F40">
        <v>-225.69043984790432</v>
      </c>
    </row>
    <row r="41" spans="1:6" x14ac:dyDescent="0.3">
      <c r="A41" s="31">
        <v>580.42999999999995</v>
      </c>
      <c r="B41" s="31">
        <v>197.35</v>
      </c>
      <c r="D41">
        <v>17</v>
      </c>
      <c r="E41">
        <v>306.87264763008449</v>
      </c>
      <c r="F41">
        <v>-8.4926476300844911</v>
      </c>
    </row>
    <row r="42" spans="1:6" x14ac:dyDescent="0.3">
      <c r="A42" s="31">
        <v>1151.21</v>
      </c>
      <c r="B42" s="31">
        <v>414.44</v>
      </c>
      <c r="D42">
        <v>18</v>
      </c>
      <c r="E42">
        <v>222.3584571936434</v>
      </c>
      <c r="F42">
        <v>-18.618457193643394</v>
      </c>
    </row>
    <row r="43" spans="1:6" x14ac:dyDescent="0.3">
      <c r="A43" s="31">
        <v>1025.98</v>
      </c>
      <c r="B43" s="31">
        <v>369.35</v>
      </c>
      <c r="D43">
        <v>19</v>
      </c>
      <c r="E43">
        <v>527.40668757001072</v>
      </c>
      <c r="F43">
        <v>-45.446687570010738</v>
      </c>
    </row>
    <row r="44" spans="1:6" x14ac:dyDescent="0.3">
      <c r="A44" s="31">
        <v>556.41999999999996</v>
      </c>
      <c r="B44" s="31">
        <v>212.83</v>
      </c>
      <c r="D44">
        <v>20</v>
      </c>
      <c r="E44">
        <v>225.2775790154268</v>
      </c>
      <c r="F44">
        <v>-64.017579015426804</v>
      </c>
    </row>
    <row r="45" spans="1:6" x14ac:dyDescent="0.3">
      <c r="A45" s="31">
        <v>840.85</v>
      </c>
      <c r="B45" s="31">
        <v>302.70999999999998</v>
      </c>
      <c r="D45">
        <v>21</v>
      </c>
      <c r="E45">
        <v>333.43946305621915</v>
      </c>
      <c r="F45">
        <v>143.21053694378082</v>
      </c>
    </row>
    <row r="46" spans="1:6" x14ac:dyDescent="0.3">
      <c r="A46" s="31">
        <v>1227.25</v>
      </c>
      <c r="B46" s="31">
        <v>365.11</v>
      </c>
      <c r="D46">
        <v>22</v>
      </c>
      <c r="E46">
        <v>135.29705228290567</v>
      </c>
      <c r="F46">
        <v>-52.727052282905674</v>
      </c>
    </row>
    <row r="47" spans="1:6" x14ac:dyDescent="0.3">
      <c r="A47" s="31">
        <v>856.7</v>
      </c>
      <c r="B47" s="31">
        <v>214.18</v>
      </c>
      <c r="D47">
        <v>23</v>
      </c>
      <c r="E47">
        <v>259.71409425677808</v>
      </c>
      <c r="F47">
        <v>37.555905743221899</v>
      </c>
    </row>
    <row r="48" spans="1:6" x14ac:dyDescent="0.3">
      <c r="A48" s="31">
        <v>1225.42</v>
      </c>
      <c r="B48" s="31">
        <v>468.72</v>
      </c>
      <c r="D48">
        <v>24</v>
      </c>
      <c r="E48">
        <v>246.80259389119757</v>
      </c>
      <c r="F48">
        <v>-70.212593891197571</v>
      </c>
    </row>
    <row r="49" spans="1:6" x14ac:dyDescent="0.3">
      <c r="A49" s="31">
        <v>1001.57</v>
      </c>
      <c r="B49" s="31">
        <v>450.71</v>
      </c>
      <c r="D49">
        <v>25</v>
      </c>
      <c r="E49">
        <v>323.61900394663769</v>
      </c>
      <c r="F49">
        <v>51.13099605336231</v>
      </c>
    </row>
    <row r="50" spans="1:6" x14ac:dyDescent="0.3">
      <c r="A50" s="31">
        <v>1186.8499999999999</v>
      </c>
      <c r="B50" s="31">
        <v>332.32</v>
      </c>
      <c r="D50">
        <v>26</v>
      </c>
      <c r="E50">
        <v>410.56462638127095</v>
      </c>
      <c r="F50">
        <v>-117.28462638127098</v>
      </c>
    </row>
    <row r="51" spans="1:6" x14ac:dyDescent="0.3">
      <c r="A51" s="31">
        <v>775.45</v>
      </c>
      <c r="B51" s="31">
        <v>174.48</v>
      </c>
      <c r="D51">
        <v>27</v>
      </c>
      <c r="E51">
        <v>235.98570377514193</v>
      </c>
      <c r="F51">
        <v>0.45429622485806931</v>
      </c>
    </row>
    <row r="52" spans="1:6" x14ac:dyDescent="0.3">
      <c r="A52" s="31">
        <v>1021.47</v>
      </c>
      <c r="B52" s="31">
        <v>242.6</v>
      </c>
      <c r="D52">
        <v>28</v>
      </c>
      <c r="E52">
        <v>328.4537994639665</v>
      </c>
      <c r="F52">
        <v>28.396200536033518</v>
      </c>
    </row>
    <row r="53" spans="1:6" x14ac:dyDescent="0.3">
      <c r="A53" s="31">
        <v>1226.6199999999999</v>
      </c>
      <c r="B53" s="31">
        <v>551.98</v>
      </c>
      <c r="D53">
        <v>29</v>
      </c>
      <c r="E53">
        <v>343.97917694160066</v>
      </c>
      <c r="F53">
        <v>54.270823058399344</v>
      </c>
    </row>
    <row r="54" spans="1:6" x14ac:dyDescent="0.3">
      <c r="A54" s="31">
        <v>1086.93</v>
      </c>
      <c r="B54" s="31">
        <v>380.43</v>
      </c>
      <c r="D54">
        <v>30</v>
      </c>
      <c r="E54">
        <v>280.07777581162298</v>
      </c>
      <c r="F54">
        <v>-119.83777581162298</v>
      </c>
    </row>
    <row r="55" spans="1:6" x14ac:dyDescent="0.3">
      <c r="A55" s="31">
        <v>942.9</v>
      </c>
      <c r="B55" s="31">
        <v>339.44</v>
      </c>
      <c r="D55">
        <v>31</v>
      </c>
      <c r="E55">
        <v>507.95874014435509</v>
      </c>
      <c r="F55">
        <v>-181.54874014435507</v>
      </c>
    </row>
    <row r="56" spans="1:6" x14ac:dyDescent="0.3">
      <c r="A56" s="31">
        <v>818.8</v>
      </c>
      <c r="B56" s="31">
        <v>173.99</v>
      </c>
      <c r="D56">
        <v>32</v>
      </c>
      <c r="E56">
        <v>357.96780519094023</v>
      </c>
      <c r="F56">
        <v>30.852194809059768</v>
      </c>
    </row>
    <row r="57" spans="1:6" x14ac:dyDescent="0.3">
      <c r="A57" s="31">
        <v>919.04</v>
      </c>
      <c r="B57" s="31">
        <v>257.33</v>
      </c>
      <c r="D57">
        <v>33</v>
      </c>
      <c r="E57">
        <v>298.50122375174891</v>
      </c>
      <c r="F57">
        <v>-44.52122375174892</v>
      </c>
    </row>
    <row r="58" spans="1:6" x14ac:dyDescent="0.3">
      <c r="A58" s="31">
        <v>973.26</v>
      </c>
      <c r="B58" s="31">
        <v>389.3</v>
      </c>
      <c r="D58">
        <v>34</v>
      </c>
      <c r="E58">
        <v>338.55845192398601</v>
      </c>
      <c r="F58">
        <v>-120.77845192398601</v>
      </c>
    </row>
    <row r="59" spans="1:6" x14ac:dyDescent="0.3">
      <c r="A59" s="31">
        <v>741.61</v>
      </c>
      <c r="B59" s="31">
        <v>148.32</v>
      </c>
      <c r="D59">
        <v>35</v>
      </c>
      <c r="E59">
        <v>420.31140573333153</v>
      </c>
      <c r="F59">
        <v>93.06859426666847</v>
      </c>
    </row>
    <row r="60" spans="1:6" x14ac:dyDescent="0.3">
      <c r="A60" s="31">
        <v>1248.82</v>
      </c>
      <c r="B60" s="31">
        <v>449.58</v>
      </c>
      <c r="D60">
        <v>36</v>
      </c>
      <c r="E60">
        <v>164.70580121342084</v>
      </c>
      <c r="F60">
        <v>-13.545801213420845</v>
      </c>
    </row>
    <row r="61" spans="1:6" x14ac:dyDescent="0.3">
      <c r="A61" s="31">
        <v>1360.36</v>
      </c>
      <c r="B61" s="31">
        <v>680.18</v>
      </c>
      <c r="D61">
        <v>37</v>
      </c>
      <c r="E61">
        <v>294.01026710285129</v>
      </c>
      <c r="F61">
        <v>65.479732897148722</v>
      </c>
    </row>
    <row r="62" spans="1:6" x14ac:dyDescent="0.3">
      <c r="A62" s="31">
        <v>1383.3</v>
      </c>
      <c r="B62" s="31">
        <v>497.99</v>
      </c>
      <c r="D62">
        <v>38</v>
      </c>
      <c r="E62">
        <v>493.69644422422334</v>
      </c>
      <c r="F62">
        <v>-24.856444224223367</v>
      </c>
    </row>
    <row r="63" spans="1:6" x14ac:dyDescent="0.3">
      <c r="A63" s="31">
        <v>488.99</v>
      </c>
      <c r="B63" s="31">
        <v>220.05</v>
      </c>
      <c r="D63">
        <v>39</v>
      </c>
      <c r="E63">
        <v>270.21170542357618</v>
      </c>
      <c r="F63">
        <v>-40.221705423576168</v>
      </c>
    </row>
    <row r="64" spans="1:6" x14ac:dyDescent="0.3">
      <c r="A64" s="31">
        <v>933.71</v>
      </c>
      <c r="B64" s="31">
        <v>294.12</v>
      </c>
      <c r="D64">
        <v>40</v>
      </c>
      <c r="E64">
        <v>202.61579073790381</v>
      </c>
      <c r="F64">
        <v>-5.2657907379038136</v>
      </c>
    </row>
    <row r="65" spans="1:6" x14ac:dyDescent="0.3">
      <c r="A65" s="31">
        <v>1005.53</v>
      </c>
      <c r="B65" s="31">
        <v>201.11</v>
      </c>
      <c r="D65">
        <v>41</v>
      </c>
      <c r="E65">
        <v>402.87737167991588</v>
      </c>
      <c r="F65">
        <v>11.562628320084116</v>
      </c>
    </row>
    <row r="66" spans="1:6" x14ac:dyDescent="0.3">
      <c r="A66" s="31">
        <v>1100.0999999999999</v>
      </c>
      <c r="B66" s="31">
        <v>261.27</v>
      </c>
      <c r="D66">
        <v>42</v>
      </c>
      <c r="E66">
        <v>358.93967627824071</v>
      </c>
      <c r="F66">
        <v>10.410323721759312</v>
      </c>
    </row>
    <row r="67" spans="1:6" x14ac:dyDescent="0.3">
      <c r="A67" s="31">
        <v>1034.7</v>
      </c>
      <c r="B67" s="31">
        <v>307.82</v>
      </c>
      <c r="D67">
        <v>43</v>
      </c>
      <c r="E67">
        <v>194.19173846133893</v>
      </c>
      <c r="F67">
        <v>18.638261538661084</v>
      </c>
    </row>
    <row r="68" spans="1:6" x14ac:dyDescent="0.3">
      <c r="A68" s="31">
        <v>876.44</v>
      </c>
      <c r="B68" s="31">
        <v>333.05</v>
      </c>
      <c r="D68">
        <v>44</v>
      </c>
      <c r="E68">
        <v>293.98570718367768</v>
      </c>
      <c r="F68">
        <v>8.7242928163223041</v>
      </c>
    </row>
    <row r="69" spans="1:6" x14ac:dyDescent="0.3">
      <c r="A69" s="31">
        <v>1371.34</v>
      </c>
      <c r="B69" s="31">
        <v>455.97</v>
      </c>
      <c r="D69">
        <v>45</v>
      </c>
      <c r="E69">
        <v>429.55646102227297</v>
      </c>
      <c r="F69">
        <v>-64.446461022272956</v>
      </c>
    </row>
    <row r="70" spans="1:6" x14ac:dyDescent="0.3">
      <c r="A70" s="31">
        <v>1020.26</v>
      </c>
      <c r="B70" s="31">
        <v>242.31</v>
      </c>
      <c r="D70">
        <v>46</v>
      </c>
      <c r="E70">
        <v>299.54677459657034</v>
      </c>
      <c r="F70">
        <v>-85.366774596570338</v>
      </c>
    </row>
    <row r="71" spans="1:6" x14ac:dyDescent="0.3">
      <c r="A71" s="31">
        <v>804.81</v>
      </c>
      <c r="B71" s="31">
        <v>344.06</v>
      </c>
      <c r="D71">
        <v>47</v>
      </c>
      <c r="E71">
        <v>428.91439456387593</v>
      </c>
      <c r="F71">
        <v>39.805605436124097</v>
      </c>
    </row>
    <row r="72" spans="1:6" x14ac:dyDescent="0.3">
      <c r="A72" s="31">
        <v>608.66</v>
      </c>
      <c r="B72" s="31">
        <v>144.56</v>
      </c>
      <c r="D72">
        <v>48</v>
      </c>
      <c r="E72">
        <v>350.37528160639778</v>
      </c>
      <c r="F72">
        <v>100.3347183936022</v>
      </c>
    </row>
    <row r="73" spans="1:6" x14ac:dyDescent="0.3">
      <c r="A73" s="31">
        <v>981.2</v>
      </c>
      <c r="B73" s="31">
        <v>441.54</v>
      </c>
      <c r="D73">
        <v>49</v>
      </c>
      <c r="E73">
        <v>415.38187909919003</v>
      </c>
      <c r="F73">
        <v>-83.061879099190037</v>
      </c>
    </row>
    <row r="74" spans="1:6" x14ac:dyDescent="0.3">
      <c r="A74" s="31">
        <v>539.77</v>
      </c>
      <c r="B74" s="31">
        <v>114.7</v>
      </c>
      <c r="D74">
        <v>50</v>
      </c>
      <c r="E74">
        <v>271.03972555571664</v>
      </c>
      <c r="F74">
        <v>-96.559725555716653</v>
      </c>
    </row>
    <row r="75" spans="1:6" x14ac:dyDescent="0.3">
      <c r="A75" s="31">
        <v>804.45</v>
      </c>
      <c r="B75" s="31">
        <v>257.42</v>
      </c>
      <c r="D75">
        <v>51</v>
      </c>
      <c r="E75">
        <v>357.35731577148067</v>
      </c>
      <c r="F75">
        <v>-114.75731577148068</v>
      </c>
    </row>
    <row r="76" spans="1:6" x14ac:dyDescent="0.3">
      <c r="A76" s="31">
        <v>1526.6</v>
      </c>
      <c r="B76" s="31">
        <v>305.32</v>
      </c>
      <c r="D76">
        <v>52</v>
      </c>
      <c r="E76">
        <v>429.33542174971001</v>
      </c>
      <c r="F76">
        <v>122.64457825029001</v>
      </c>
    </row>
    <row r="77" spans="1:6" x14ac:dyDescent="0.3">
      <c r="A77" s="31">
        <v>1215.26</v>
      </c>
      <c r="B77" s="31">
        <v>258.24</v>
      </c>
      <c r="D77">
        <v>53</v>
      </c>
      <c r="E77">
        <v>380.32434875873344</v>
      </c>
      <c r="F77">
        <v>0.10565124126657111</v>
      </c>
    </row>
    <row r="78" spans="1:6" x14ac:dyDescent="0.3">
      <c r="A78" s="31">
        <v>1261.3399999999999</v>
      </c>
      <c r="B78" s="31">
        <v>441.47</v>
      </c>
      <c r="D78">
        <v>54</v>
      </c>
      <c r="E78">
        <v>329.79056077898991</v>
      </c>
      <c r="F78">
        <v>9.6494392210100841</v>
      </c>
    </row>
    <row r="79" spans="1:6" x14ac:dyDescent="0.3">
      <c r="A79" s="31">
        <v>518.07000000000005</v>
      </c>
      <c r="B79" s="31">
        <v>172.26</v>
      </c>
      <c r="D79">
        <v>55</v>
      </c>
      <c r="E79">
        <v>286.24933264397521</v>
      </c>
      <c r="F79">
        <v>-112.2593326439752</v>
      </c>
    </row>
    <row r="80" spans="1:6" x14ac:dyDescent="0.3">
      <c r="A80" s="31">
        <v>1111.3399999999999</v>
      </c>
      <c r="B80" s="31">
        <v>500.1</v>
      </c>
      <c r="D80">
        <v>56</v>
      </c>
      <c r="E80">
        <v>321.41913690065428</v>
      </c>
      <c r="F80">
        <v>-64.089136900654296</v>
      </c>
    </row>
    <row r="81" spans="1:6" x14ac:dyDescent="0.3">
      <c r="A81" s="31">
        <v>1291.47</v>
      </c>
      <c r="B81" s="31">
        <v>581.16</v>
      </c>
      <c r="D81">
        <v>57</v>
      </c>
      <c r="E81">
        <v>340.44254858059384</v>
      </c>
      <c r="F81">
        <v>48.857451419406175</v>
      </c>
    </row>
    <row r="82" spans="1:6" x14ac:dyDescent="0.3">
      <c r="A82" s="31">
        <v>679.71</v>
      </c>
      <c r="B82" s="31">
        <v>271.88</v>
      </c>
      <c r="D82">
        <v>58</v>
      </c>
      <c r="E82">
        <v>259.16675891519367</v>
      </c>
      <c r="F82">
        <v>-110.84675891519367</v>
      </c>
    </row>
    <row r="83" spans="1:6" x14ac:dyDescent="0.3">
      <c r="A83" s="31">
        <v>1143.69</v>
      </c>
      <c r="B83" s="31">
        <v>400.29</v>
      </c>
      <c r="D83">
        <v>59</v>
      </c>
      <c r="E83">
        <v>437.12442468764175</v>
      </c>
      <c r="F83">
        <v>12.455575312358235</v>
      </c>
    </row>
    <row r="84" spans="1:6" x14ac:dyDescent="0.3">
      <c r="A84" s="31">
        <v>790.08</v>
      </c>
      <c r="B84" s="31">
        <v>177.77</v>
      </c>
      <c r="D84">
        <v>60</v>
      </c>
      <c r="E84">
        <v>476.2589016109257</v>
      </c>
      <c r="F84">
        <v>203.92109838907425</v>
      </c>
    </row>
    <row r="85" spans="1:6" x14ac:dyDescent="0.3">
      <c r="A85" s="31">
        <v>1070.68</v>
      </c>
      <c r="B85" s="31">
        <v>406.86</v>
      </c>
      <c r="D85">
        <v>61</v>
      </c>
      <c r="E85">
        <v>484.30753798012188</v>
      </c>
      <c r="F85">
        <v>13.68246201987813</v>
      </c>
    </row>
    <row r="86" spans="1:6" x14ac:dyDescent="0.3">
      <c r="A86" s="31">
        <v>1168.8900000000001</v>
      </c>
      <c r="B86" s="31">
        <v>526</v>
      </c>
      <c r="D86">
        <v>62</v>
      </c>
      <c r="E86">
        <v>170.53351917734184</v>
      </c>
      <c r="F86">
        <v>49.516480822658167</v>
      </c>
    </row>
    <row r="87" spans="1:6" x14ac:dyDescent="0.3">
      <c r="A87" s="31">
        <v>1335.87</v>
      </c>
      <c r="B87" s="31">
        <v>333.97</v>
      </c>
      <c r="D87">
        <v>63</v>
      </c>
      <c r="E87">
        <v>326.56619424747674</v>
      </c>
      <c r="F87">
        <v>-32.44619424747674</v>
      </c>
    </row>
    <row r="88" spans="1:6" x14ac:dyDescent="0.3">
      <c r="A88" s="31">
        <v>873.7</v>
      </c>
      <c r="B88" s="31">
        <v>305.8</v>
      </c>
      <c r="D88">
        <v>64</v>
      </c>
      <c r="E88">
        <v>351.7646713196504</v>
      </c>
      <c r="F88">
        <v>-150.65467131965039</v>
      </c>
    </row>
    <row r="89" spans="1:6" x14ac:dyDescent="0.3">
      <c r="A89" s="31">
        <v>1443.98</v>
      </c>
      <c r="B89" s="31">
        <v>649.79</v>
      </c>
      <c r="D89">
        <v>65</v>
      </c>
      <c r="E89">
        <v>384.94512212326316</v>
      </c>
      <c r="F89">
        <v>-123.67512212326318</v>
      </c>
    </row>
    <row r="90" spans="1:6" x14ac:dyDescent="0.3">
      <c r="A90" s="31">
        <v>1154.33</v>
      </c>
      <c r="B90" s="31">
        <v>441.53</v>
      </c>
      <c r="D90">
        <v>66</v>
      </c>
      <c r="E90">
        <v>361.99914049530219</v>
      </c>
      <c r="F90">
        <v>-54.179140495302192</v>
      </c>
    </row>
    <row r="91" spans="1:6" x14ac:dyDescent="0.3">
      <c r="A91" s="31">
        <v>1264.49</v>
      </c>
      <c r="B91" s="31">
        <v>480.51</v>
      </c>
      <c r="D91">
        <v>67</v>
      </c>
      <c r="E91">
        <v>306.47267180354208</v>
      </c>
      <c r="F91">
        <v>26.577328196457927</v>
      </c>
    </row>
    <row r="92" spans="1:6" x14ac:dyDescent="0.3">
      <c r="A92" s="31">
        <v>1101.55</v>
      </c>
      <c r="B92" s="31">
        <v>346.99</v>
      </c>
      <c r="D92">
        <v>68</v>
      </c>
      <c r="E92">
        <v>480.11130036130817</v>
      </c>
      <c r="F92">
        <v>-24.14130036130814</v>
      </c>
    </row>
    <row r="93" spans="1:6" x14ac:dyDescent="0.3">
      <c r="A93" s="31">
        <v>727.73</v>
      </c>
      <c r="B93" s="31">
        <v>229.23</v>
      </c>
      <c r="D93">
        <v>69</v>
      </c>
      <c r="E93">
        <v>356.9327800257646</v>
      </c>
      <c r="F93">
        <v>-114.6227800257646</v>
      </c>
    </row>
    <row r="94" spans="1:6" x14ac:dyDescent="0.3">
      <c r="A94" s="31">
        <v>875.41</v>
      </c>
      <c r="B94" s="31">
        <v>334.84</v>
      </c>
      <c r="D94">
        <v>70</v>
      </c>
      <c r="E94">
        <v>281.34085736912539</v>
      </c>
      <c r="F94">
        <v>62.719142630874614</v>
      </c>
    </row>
    <row r="95" spans="1:6" x14ac:dyDescent="0.3">
      <c r="A95" s="31">
        <v>1158.94</v>
      </c>
      <c r="B95" s="31">
        <v>231.79</v>
      </c>
      <c r="D95">
        <v>71</v>
      </c>
      <c r="E95">
        <v>212.52045528465214</v>
      </c>
      <c r="F95">
        <v>-67.960455284652141</v>
      </c>
    </row>
    <row r="96" spans="1:6" x14ac:dyDescent="0.3">
      <c r="A96" s="31">
        <v>966.3</v>
      </c>
      <c r="B96" s="31">
        <v>328.54</v>
      </c>
      <c r="D96">
        <v>72</v>
      </c>
      <c r="E96">
        <v>343.22834512686313</v>
      </c>
      <c r="F96">
        <v>98.311654873136888</v>
      </c>
    </row>
    <row r="97" spans="1:6" x14ac:dyDescent="0.3">
      <c r="A97" s="31">
        <v>917.48</v>
      </c>
      <c r="B97" s="31">
        <v>366.99</v>
      </c>
      <c r="D97">
        <v>73</v>
      </c>
      <c r="E97">
        <v>188.34998625789015</v>
      </c>
      <c r="F97">
        <v>-73.649986257890149</v>
      </c>
    </row>
    <row r="98" spans="1:6" x14ac:dyDescent="0.3">
      <c r="A98" s="31">
        <v>1172.97</v>
      </c>
      <c r="B98" s="31">
        <v>348.96</v>
      </c>
      <c r="D98">
        <v>74</v>
      </c>
      <c r="E98">
        <v>281.21454921337522</v>
      </c>
      <c r="F98">
        <v>-23.794549213375205</v>
      </c>
    </row>
    <row r="99" spans="1:6" x14ac:dyDescent="0.3">
      <c r="A99" s="31">
        <v>1205.82</v>
      </c>
      <c r="B99" s="31">
        <v>542.62</v>
      </c>
      <c r="D99">
        <v>75</v>
      </c>
      <c r="E99">
        <v>534.58520108848279</v>
      </c>
      <c r="F99">
        <v>-229.2652010884828</v>
      </c>
    </row>
    <row r="100" spans="1:6" x14ac:dyDescent="0.3">
      <c r="A100" s="31">
        <v>826.93</v>
      </c>
      <c r="B100" s="31">
        <v>297.69</v>
      </c>
      <c r="D100">
        <v>76</v>
      </c>
      <c r="E100">
        <v>425.34969772381345</v>
      </c>
      <c r="F100">
        <v>-167.10969772381344</v>
      </c>
    </row>
    <row r="101" spans="1:6" x14ac:dyDescent="0.3">
      <c r="A101" s="31">
        <v>902.19</v>
      </c>
      <c r="B101" s="31">
        <v>451.1</v>
      </c>
      <c r="D101">
        <v>77</v>
      </c>
      <c r="E101">
        <v>441.5171416598447</v>
      </c>
      <c r="F101">
        <v>-4.7141659844669448E-2</v>
      </c>
    </row>
    <row r="102" spans="1:6" x14ac:dyDescent="0.3">
      <c r="A102" s="31">
        <v>585.97</v>
      </c>
      <c r="B102" s="31">
        <v>210.95</v>
      </c>
      <c r="D102">
        <v>78</v>
      </c>
      <c r="E102">
        <v>180.736411314056</v>
      </c>
      <c r="F102">
        <v>-8.4764113140560085</v>
      </c>
    </row>
    <row r="103" spans="1:6" x14ac:dyDescent="0.3">
      <c r="A103" s="31">
        <v>990.19</v>
      </c>
      <c r="B103" s="31">
        <v>445.59</v>
      </c>
      <c r="D103">
        <v>79</v>
      </c>
      <c r="E103">
        <v>388.88874343057631</v>
      </c>
      <c r="F103">
        <v>111.21125656942371</v>
      </c>
    </row>
    <row r="104" spans="1:6" x14ac:dyDescent="0.3">
      <c r="A104" s="31">
        <v>1014.09</v>
      </c>
      <c r="B104" s="31">
        <v>202.82</v>
      </c>
      <c r="D104">
        <v>80</v>
      </c>
      <c r="E104">
        <v>452.0884325841638</v>
      </c>
      <c r="F104">
        <v>129.07156741583617</v>
      </c>
    </row>
    <row r="105" spans="1:6" x14ac:dyDescent="0.3">
      <c r="A105" s="31">
        <v>925.29</v>
      </c>
      <c r="B105" s="31">
        <v>231.32</v>
      </c>
      <c r="D105">
        <v>81</v>
      </c>
      <c r="E105">
        <v>237.44877324591562</v>
      </c>
      <c r="F105">
        <v>34.431226754084378</v>
      </c>
    </row>
    <row r="106" spans="1:6" x14ac:dyDescent="0.3">
      <c r="A106" s="31">
        <v>1286.54</v>
      </c>
      <c r="B106" s="31">
        <v>450.29</v>
      </c>
      <c r="D106">
        <v>82</v>
      </c>
      <c r="E106">
        <v>400.2389346486886</v>
      </c>
      <c r="F106">
        <v>5.1065351311422091E-2</v>
      </c>
    </row>
    <row r="107" spans="1:6" x14ac:dyDescent="0.3">
      <c r="A107" s="31">
        <v>961.62</v>
      </c>
      <c r="B107" s="31">
        <v>307.72000000000003</v>
      </c>
      <c r="D107">
        <v>83</v>
      </c>
      <c r="E107">
        <v>276.1727486630113</v>
      </c>
      <c r="F107">
        <v>-98.402748663011295</v>
      </c>
    </row>
    <row r="108" spans="1:6" x14ac:dyDescent="0.3">
      <c r="A108" s="31">
        <v>1081.1400000000001</v>
      </c>
      <c r="B108" s="31">
        <v>367.59</v>
      </c>
      <c r="D108">
        <v>84</v>
      </c>
      <c r="E108">
        <v>374.62293895056268</v>
      </c>
      <c r="F108">
        <v>32.23706104943733</v>
      </c>
    </row>
    <row r="109" spans="1:6" x14ac:dyDescent="0.3">
      <c r="A109" s="31">
        <v>1923.66</v>
      </c>
      <c r="B109" s="31">
        <v>769.46</v>
      </c>
      <c r="D109">
        <v>85</v>
      </c>
      <c r="E109">
        <v>409.0805055512057</v>
      </c>
      <c r="F109">
        <v>116.9194944487943</v>
      </c>
    </row>
    <row r="110" spans="1:6" x14ac:dyDescent="0.3">
      <c r="A110" s="31">
        <v>728.71</v>
      </c>
      <c r="B110" s="31">
        <v>327.92</v>
      </c>
      <c r="D110">
        <v>86</v>
      </c>
      <c r="E110">
        <v>467.66643846002717</v>
      </c>
      <c r="F110">
        <v>-133.69643846002714</v>
      </c>
    </row>
    <row r="111" spans="1:6" x14ac:dyDescent="0.3">
      <c r="A111" s="31">
        <v>1301.8900000000001</v>
      </c>
      <c r="B111" s="31">
        <v>553.29999999999995</v>
      </c>
      <c r="D111">
        <v>87</v>
      </c>
      <c r="E111">
        <v>305.51132639588747</v>
      </c>
      <c r="F111">
        <v>0.28867360411254595</v>
      </c>
    </row>
    <row r="112" spans="1:6" x14ac:dyDescent="0.3">
      <c r="A112" s="31">
        <v>980.18</v>
      </c>
      <c r="B112" s="31">
        <v>352.86</v>
      </c>
      <c r="D112">
        <v>88</v>
      </c>
      <c r="E112">
        <v>505.59747934380192</v>
      </c>
      <c r="F112">
        <v>144.19252065619804</v>
      </c>
    </row>
    <row r="113" spans="1:6" x14ac:dyDescent="0.3">
      <c r="A113" s="31">
        <v>697.57</v>
      </c>
      <c r="B113" s="31">
        <v>313.91000000000003</v>
      </c>
      <c r="D113">
        <v>89</v>
      </c>
      <c r="E113">
        <v>403.97204236308465</v>
      </c>
      <c r="F113">
        <v>37.557957636915319</v>
      </c>
    </row>
    <row r="114" spans="1:6" x14ac:dyDescent="0.3">
      <c r="A114" s="31">
        <v>1193.6099999999999</v>
      </c>
      <c r="B114" s="31">
        <v>355.1</v>
      </c>
      <c r="D114">
        <v>90</v>
      </c>
      <c r="E114">
        <v>442.62233802265933</v>
      </c>
      <c r="F114">
        <v>37.887661977340656</v>
      </c>
    </row>
    <row r="115" spans="1:6" x14ac:dyDescent="0.3">
      <c r="A115" s="31">
        <v>771.02</v>
      </c>
      <c r="B115" s="31">
        <v>192.76</v>
      </c>
      <c r="D115">
        <v>91</v>
      </c>
      <c r="E115">
        <v>385.4538633061461</v>
      </c>
      <c r="F115">
        <v>-38.463863306146095</v>
      </c>
    </row>
    <row r="116" spans="1:6" x14ac:dyDescent="0.3">
      <c r="A116" s="31">
        <v>661.09</v>
      </c>
      <c r="B116" s="31">
        <v>264.44</v>
      </c>
      <c r="D116">
        <v>92</v>
      </c>
      <c r="E116">
        <v>254.2968777990454</v>
      </c>
      <c r="F116">
        <v>-25.066877799045415</v>
      </c>
    </row>
    <row r="117" spans="1:6" x14ac:dyDescent="0.3">
      <c r="A117" s="31">
        <v>688.83</v>
      </c>
      <c r="B117" s="31">
        <v>172.21</v>
      </c>
      <c r="D117">
        <v>93</v>
      </c>
      <c r="E117">
        <v>306.1112901357011</v>
      </c>
      <c r="F117">
        <v>28.728709864298878</v>
      </c>
    </row>
    <row r="118" spans="1:6" x14ac:dyDescent="0.3">
      <c r="A118" s="31">
        <v>1249.0999999999999</v>
      </c>
      <c r="B118" s="31">
        <v>474.66</v>
      </c>
      <c r="D118">
        <v>94</v>
      </c>
      <c r="E118">
        <v>405.58948846866417</v>
      </c>
      <c r="F118">
        <v>-173.79948846866418</v>
      </c>
    </row>
    <row r="119" spans="1:6" x14ac:dyDescent="0.3">
      <c r="A119" s="31">
        <v>1014.22</v>
      </c>
      <c r="B119" s="31">
        <v>433.58</v>
      </c>
      <c r="D119">
        <v>95</v>
      </c>
      <c r="E119">
        <v>338.00059090275573</v>
      </c>
      <c r="F119">
        <v>-9.4605909027557118</v>
      </c>
    </row>
    <row r="120" spans="1:6" x14ac:dyDescent="0.3">
      <c r="A120" s="31">
        <v>1010.58</v>
      </c>
      <c r="B120" s="31">
        <v>343.6</v>
      </c>
      <c r="D120">
        <v>96</v>
      </c>
      <c r="E120">
        <v>320.87180155906992</v>
      </c>
      <c r="F120">
        <v>46.118198440930087</v>
      </c>
    </row>
    <row r="121" spans="1:6" x14ac:dyDescent="0.3">
      <c r="A121" s="31">
        <v>957.29</v>
      </c>
      <c r="B121" s="31">
        <v>318.3</v>
      </c>
      <c r="D121">
        <v>97</v>
      </c>
      <c r="E121">
        <v>410.51199798304174</v>
      </c>
      <c r="F121">
        <v>-61.551997983041758</v>
      </c>
    </row>
    <row r="122" spans="1:6" x14ac:dyDescent="0.3">
      <c r="A122" s="31">
        <v>1077.92</v>
      </c>
      <c r="B122" s="31">
        <v>358.41</v>
      </c>
      <c r="D122">
        <v>98</v>
      </c>
      <c r="E122">
        <v>422.03761719525147</v>
      </c>
      <c r="F122">
        <v>120.58238280474853</v>
      </c>
    </row>
    <row r="123" spans="1:6" x14ac:dyDescent="0.3">
      <c r="A123" s="31">
        <v>1163.01</v>
      </c>
      <c r="B123" s="31">
        <v>581.5</v>
      </c>
      <c r="D123">
        <v>99</v>
      </c>
      <c r="E123">
        <v>289.10179182800152</v>
      </c>
      <c r="F123">
        <v>8.588208171998474</v>
      </c>
    </row>
    <row r="124" spans="1:6" x14ac:dyDescent="0.3">
      <c r="A124" s="31">
        <v>1014.56</v>
      </c>
      <c r="B124" s="31">
        <v>410.9</v>
      </c>
      <c r="D124">
        <v>100</v>
      </c>
      <c r="E124">
        <v>315.50721349956649</v>
      </c>
      <c r="F124">
        <v>135.59278650043353</v>
      </c>
    </row>
    <row r="125" spans="1:6" x14ac:dyDescent="0.3">
      <c r="A125" s="31">
        <v>718.04</v>
      </c>
      <c r="B125" s="31">
        <v>179.51</v>
      </c>
      <c r="D125">
        <v>101</v>
      </c>
      <c r="E125">
        <v>204.55953291250484</v>
      </c>
      <c r="F125">
        <v>6.3904670874951535</v>
      </c>
    </row>
    <row r="126" spans="1:6" x14ac:dyDescent="0.3">
      <c r="A126" s="31">
        <v>1277.8499999999999</v>
      </c>
      <c r="B126" s="31">
        <v>511.14</v>
      </c>
      <c r="D126">
        <v>102</v>
      </c>
      <c r="E126">
        <v>346.38254046073729</v>
      </c>
      <c r="F126">
        <v>99.207459539262686</v>
      </c>
    </row>
    <row r="127" spans="1:6" x14ac:dyDescent="0.3">
      <c r="A127" s="31">
        <v>706.73</v>
      </c>
      <c r="B127" s="31">
        <v>150.18</v>
      </c>
      <c r="D127">
        <v>103</v>
      </c>
      <c r="E127">
        <v>354.76799857860067</v>
      </c>
      <c r="F127">
        <v>-151.94799857860068</v>
      </c>
    </row>
    <row r="128" spans="1:6" x14ac:dyDescent="0.3">
      <c r="A128" s="31">
        <v>1410.59</v>
      </c>
      <c r="B128" s="31">
        <v>352.65</v>
      </c>
      <c r="D128">
        <v>104</v>
      </c>
      <c r="E128">
        <v>323.61198682687376</v>
      </c>
      <c r="F128">
        <v>-92.291986826873767</v>
      </c>
    </row>
    <row r="129" spans="1:6" x14ac:dyDescent="0.3">
      <c r="A129" s="31">
        <v>1350.33</v>
      </c>
      <c r="B129" s="31">
        <v>472.62</v>
      </c>
      <c r="D129">
        <v>105</v>
      </c>
      <c r="E129">
        <v>450.3587125623618</v>
      </c>
      <c r="F129">
        <v>-6.8712562361781693E-2</v>
      </c>
    </row>
    <row r="130" spans="1:6" x14ac:dyDescent="0.3">
      <c r="A130" s="31">
        <v>919.18</v>
      </c>
      <c r="B130" s="31">
        <v>195.33</v>
      </c>
      <c r="D130">
        <v>106</v>
      </c>
      <c r="E130">
        <v>336.3585848780026</v>
      </c>
      <c r="F130">
        <v>-28.638584878002575</v>
      </c>
    </row>
    <row r="131" spans="1:6" x14ac:dyDescent="0.3">
      <c r="A131" s="31">
        <v>258.51</v>
      </c>
      <c r="B131" s="31">
        <v>64.63</v>
      </c>
      <c r="D131">
        <v>107</v>
      </c>
      <c r="E131">
        <v>378.29289258708366</v>
      </c>
      <c r="F131">
        <v>-10.702892587083682</v>
      </c>
    </row>
    <row r="132" spans="1:6" x14ac:dyDescent="0.3">
      <c r="A132" s="31">
        <v>1213.48</v>
      </c>
      <c r="B132" s="31">
        <v>461.12</v>
      </c>
      <c r="D132">
        <v>108</v>
      </c>
      <c r="E132">
        <v>673.8960797612383</v>
      </c>
      <c r="F132">
        <v>95.563920238761739</v>
      </c>
    </row>
    <row r="133" spans="1:6" x14ac:dyDescent="0.3">
      <c r="A133" s="31">
        <v>1150.28</v>
      </c>
      <c r="B133" s="31">
        <v>437.11</v>
      </c>
      <c r="D133">
        <v>109</v>
      </c>
      <c r="E133">
        <v>254.64071666747662</v>
      </c>
      <c r="F133">
        <v>73.279283332523391</v>
      </c>
    </row>
    <row r="134" spans="1:6" x14ac:dyDescent="0.3">
      <c r="A134" s="31">
        <v>853.86</v>
      </c>
      <c r="B134" s="31">
        <v>268.97000000000003</v>
      </c>
      <c r="D134">
        <v>110</v>
      </c>
      <c r="E134">
        <v>455.74435198115697</v>
      </c>
      <c r="F134">
        <v>97.555648018842987</v>
      </c>
    </row>
    <row r="135" spans="1:6" x14ac:dyDescent="0.3">
      <c r="A135" s="31">
        <v>1061.04</v>
      </c>
      <c r="B135" s="31">
        <v>265.26</v>
      </c>
      <c r="D135">
        <v>111</v>
      </c>
      <c r="E135">
        <v>342.87047201890408</v>
      </c>
      <c r="F135">
        <v>9.9895279810959323</v>
      </c>
    </row>
    <row r="136" spans="1:6" x14ac:dyDescent="0.3">
      <c r="A136" s="31">
        <v>894.55</v>
      </c>
      <c r="B136" s="31">
        <v>178.91</v>
      </c>
      <c r="D136">
        <v>112</v>
      </c>
      <c r="E136">
        <v>243.71506119508052</v>
      </c>
      <c r="F136">
        <v>70.194938804919502</v>
      </c>
    </row>
    <row r="137" spans="1:6" x14ac:dyDescent="0.3">
      <c r="A137" s="31">
        <v>833.91</v>
      </c>
      <c r="B137" s="31">
        <v>356.5</v>
      </c>
      <c r="D137">
        <v>113</v>
      </c>
      <c r="E137">
        <v>417.75366557938906</v>
      </c>
      <c r="F137">
        <v>-62.653665579389042</v>
      </c>
    </row>
    <row r="138" spans="1:6" x14ac:dyDescent="0.3">
      <c r="A138" s="31">
        <v>820.19</v>
      </c>
      <c r="B138" s="31">
        <v>229.65</v>
      </c>
      <c r="D138">
        <v>114</v>
      </c>
      <c r="E138">
        <v>269.48543352801221</v>
      </c>
      <c r="F138">
        <v>-76.725433528012218</v>
      </c>
    </row>
    <row r="139" spans="1:6" x14ac:dyDescent="0.3">
      <c r="A139" s="31">
        <v>511.74</v>
      </c>
      <c r="B139" s="31">
        <v>121.54</v>
      </c>
      <c r="D139">
        <v>115</v>
      </c>
      <c r="E139">
        <v>230.91583474572244</v>
      </c>
      <c r="F139">
        <v>33.524165254277563</v>
      </c>
    </row>
    <row r="140" spans="1:6" x14ac:dyDescent="0.3">
      <c r="A140" s="31">
        <v>806.03</v>
      </c>
      <c r="B140" s="31">
        <v>268</v>
      </c>
      <c r="D140">
        <v>116</v>
      </c>
      <c r="E140">
        <v>240.64857985825515</v>
      </c>
      <c r="F140">
        <v>-68.438579858255139</v>
      </c>
    </row>
    <row r="141" spans="1:6" x14ac:dyDescent="0.3">
      <c r="A141" s="31">
        <v>1432.47</v>
      </c>
      <c r="B141" s="31">
        <v>426.16</v>
      </c>
      <c r="D141">
        <v>117</v>
      </c>
      <c r="E141">
        <v>437.22266436433637</v>
      </c>
      <c r="F141">
        <v>37.437335635663658</v>
      </c>
    </row>
    <row r="142" spans="1:6" x14ac:dyDescent="0.3">
      <c r="A142" s="31">
        <v>1488.58</v>
      </c>
      <c r="B142" s="31">
        <v>316.32</v>
      </c>
      <c r="D142">
        <v>118</v>
      </c>
      <c r="E142">
        <v>354.81360985706607</v>
      </c>
      <c r="F142">
        <v>78.766390142933915</v>
      </c>
    </row>
    <row r="143" spans="1:6" x14ac:dyDescent="0.3">
      <c r="A143" s="31">
        <v>1231.26</v>
      </c>
      <c r="B143" s="31">
        <v>492.5</v>
      </c>
      <c r="D143">
        <v>119</v>
      </c>
      <c r="E143">
        <v>353.53649406003581</v>
      </c>
      <c r="F143">
        <v>-9.9364940600357841</v>
      </c>
    </row>
    <row r="144" spans="1:6" x14ac:dyDescent="0.3">
      <c r="A144" s="31">
        <v>1161.67</v>
      </c>
      <c r="B144" s="31">
        <v>232.33</v>
      </c>
      <c r="D144">
        <v>120</v>
      </c>
      <c r="E144">
        <v>334.8393784491177</v>
      </c>
      <c r="F144">
        <v>-16.539378449117692</v>
      </c>
    </row>
    <row r="145" spans="1:6" x14ac:dyDescent="0.3">
      <c r="A145" s="31">
        <v>388.23</v>
      </c>
      <c r="B145" s="31">
        <v>165.97</v>
      </c>
      <c r="D145">
        <v>121</v>
      </c>
      <c r="E145">
        <v>377.16313630509535</v>
      </c>
      <c r="F145">
        <v>-18.753136305095325</v>
      </c>
    </row>
    <row r="146" spans="1:6" x14ac:dyDescent="0.3">
      <c r="A146" s="31">
        <v>1589.42</v>
      </c>
      <c r="B146" s="31">
        <v>675.5</v>
      </c>
      <c r="D146">
        <v>122</v>
      </c>
      <c r="E146">
        <v>407.01747234061833</v>
      </c>
      <c r="F146">
        <v>174.48252765938167</v>
      </c>
    </row>
    <row r="147" spans="1:6" x14ac:dyDescent="0.3">
      <c r="A147" s="31">
        <v>336.66</v>
      </c>
      <c r="B147" s="31">
        <v>134.66</v>
      </c>
      <c r="D147">
        <v>123</v>
      </c>
      <c r="E147">
        <v>354.93290089305236</v>
      </c>
      <c r="F147">
        <v>55.967099106947614</v>
      </c>
    </row>
    <row r="148" spans="1:6" x14ac:dyDescent="0.3">
      <c r="A148" s="31">
        <v>1353.79</v>
      </c>
      <c r="B148" s="31">
        <v>487.36</v>
      </c>
      <c r="D148">
        <v>124</v>
      </c>
      <c r="E148">
        <v>250.89708327343465</v>
      </c>
      <c r="F148">
        <v>-71.387083273434655</v>
      </c>
    </row>
    <row r="149" spans="1:6" x14ac:dyDescent="0.3">
      <c r="A149" s="31">
        <v>662.61</v>
      </c>
      <c r="B149" s="31">
        <v>314.74</v>
      </c>
      <c r="D149">
        <v>125</v>
      </c>
      <c r="E149">
        <v>447.30977402494614</v>
      </c>
      <c r="F149">
        <v>63.83022597505385</v>
      </c>
    </row>
    <row r="150" spans="1:6" x14ac:dyDescent="0.3">
      <c r="A150" s="31">
        <v>309.42</v>
      </c>
      <c r="B150" s="31">
        <v>111.39</v>
      </c>
      <c r="D150">
        <v>126</v>
      </c>
      <c r="E150">
        <v>246.92890204694783</v>
      </c>
      <c r="F150">
        <v>-96.748902046947819</v>
      </c>
    </row>
    <row r="151" spans="1:6" x14ac:dyDescent="0.3">
      <c r="A151" s="31">
        <v>884.63</v>
      </c>
      <c r="B151" s="31">
        <v>318.47000000000003</v>
      </c>
      <c r="D151">
        <v>127</v>
      </c>
      <c r="E151">
        <v>493.88239789796671</v>
      </c>
      <c r="F151">
        <v>-141.23239789796673</v>
      </c>
    </row>
    <row r="152" spans="1:6" x14ac:dyDescent="0.3">
      <c r="A152" s="31">
        <v>745.05</v>
      </c>
      <c r="B152" s="31">
        <v>301.75</v>
      </c>
      <c r="D152">
        <v>128</v>
      </c>
      <c r="E152">
        <v>472.73981604932868</v>
      </c>
      <c r="F152">
        <v>-0.1198160493286764</v>
      </c>
    </row>
    <row r="153" spans="1:6" x14ac:dyDescent="0.3">
      <c r="A153" s="31">
        <v>870.23</v>
      </c>
      <c r="B153" s="31">
        <v>413.36</v>
      </c>
      <c r="D153">
        <v>129</v>
      </c>
      <c r="E153">
        <v>321.46825673900156</v>
      </c>
      <c r="F153">
        <v>-126.13825673900155</v>
      </c>
    </row>
    <row r="154" spans="1:6" x14ac:dyDescent="0.3">
      <c r="A154" s="31">
        <v>862.19</v>
      </c>
      <c r="B154" s="31">
        <v>286.68</v>
      </c>
      <c r="D154">
        <v>130</v>
      </c>
      <c r="E154">
        <v>89.668231018129987</v>
      </c>
      <c r="F154">
        <v>-25.038231018129991</v>
      </c>
    </row>
    <row r="155" spans="1:6" x14ac:dyDescent="0.3">
      <c r="A155" s="31">
        <v>1171.18</v>
      </c>
      <c r="B155" s="31">
        <v>556.30999999999995</v>
      </c>
      <c r="D155">
        <v>131</v>
      </c>
      <c r="E155">
        <v>424.72517406482615</v>
      </c>
      <c r="F155">
        <v>36.394825935173856</v>
      </c>
    </row>
    <row r="156" spans="1:6" x14ac:dyDescent="0.3">
      <c r="A156" s="31">
        <v>1054.56</v>
      </c>
      <c r="B156" s="31">
        <v>332.19</v>
      </c>
      <c r="D156">
        <v>132</v>
      </c>
      <c r="E156">
        <v>402.55107561089443</v>
      </c>
      <c r="F156">
        <v>34.558924389105584</v>
      </c>
    </row>
    <row r="157" spans="1:6" x14ac:dyDescent="0.3">
      <c r="A157" s="31">
        <v>1681.21</v>
      </c>
      <c r="B157" s="31">
        <v>336.24</v>
      </c>
      <c r="D157">
        <v>133</v>
      </c>
      <c r="E157">
        <v>298.55034359009619</v>
      </c>
      <c r="F157">
        <v>-29.580343590096163</v>
      </c>
    </row>
    <row r="158" spans="1:6" x14ac:dyDescent="0.3">
      <c r="A158" s="31">
        <v>379.77</v>
      </c>
      <c r="B158" s="31">
        <v>180.39</v>
      </c>
      <c r="D158">
        <v>134</v>
      </c>
      <c r="E158">
        <v>371.24068722436169</v>
      </c>
      <c r="F158">
        <v>-105.9806872243617</v>
      </c>
    </row>
    <row r="159" spans="1:6" x14ac:dyDescent="0.3">
      <c r="A159" s="31">
        <v>1076.33</v>
      </c>
      <c r="B159" s="31">
        <v>484.35</v>
      </c>
      <c r="D159">
        <v>135</v>
      </c>
      <c r="E159">
        <v>312.82667374975568</v>
      </c>
      <c r="F159">
        <v>-133.91667374975569</v>
      </c>
    </row>
    <row r="160" spans="1:6" x14ac:dyDescent="0.3">
      <c r="A160" s="31">
        <v>1250.71</v>
      </c>
      <c r="B160" s="31">
        <v>562.82000000000005</v>
      </c>
      <c r="D160">
        <v>136</v>
      </c>
      <c r="E160">
        <v>291.5507666256035</v>
      </c>
      <c r="F160">
        <v>64.949233374396499</v>
      </c>
    </row>
    <row r="161" spans="1:6" x14ac:dyDescent="0.3">
      <c r="A161" s="31">
        <v>1118.3399999999999</v>
      </c>
      <c r="B161" s="31">
        <v>447.34</v>
      </c>
      <c r="D161">
        <v>137</v>
      </c>
      <c r="E161">
        <v>286.73702246756642</v>
      </c>
      <c r="F161">
        <v>-57.087022467566413</v>
      </c>
    </row>
    <row r="162" spans="1:6" x14ac:dyDescent="0.3">
      <c r="A162" s="31">
        <v>1622.62</v>
      </c>
      <c r="B162" s="31">
        <v>649.04999999999995</v>
      </c>
      <c r="D162">
        <v>138</v>
      </c>
      <c r="E162">
        <v>178.51549290878089</v>
      </c>
      <c r="F162">
        <v>-56.975492908780879</v>
      </c>
    </row>
    <row r="163" spans="1:6" x14ac:dyDescent="0.3">
      <c r="A163" s="31">
        <v>640.64</v>
      </c>
      <c r="B163" s="31">
        <v>205</v>
      </c>
      <c r="D163">
        <v>139</v>
      </c>
      <c r="E163">
        <v>281.76890167472345</v>
      </c>
      <c r="F163">
        <v>-13.768901674723452</v>
      </c>
    </row>
    <row r="164" spans="1:6" x14ac:dyDescent="0.3">
      <c r="A164" s="31">
        <v>585.16</v>
      </c>
      <c r="B164" s="31">
        <v>263.32</v>
      </c>
      <c r="D164">
        <v>140</v>
      </c>
      <c r="E164">
        <v>501.55912691967603</v>
      </c>
      <c r="F164">
        <v>-75.399126919676007</v>
      </c>
    </row>
    <row r="165" spans="1:6" x14ac:dyDescent="0.3">
      <c r="A165" s="31">
        <v>1109.98</v>
      </c>
      <c r="B165" s="31">
        <v>443.99</v>
      </c>
      <c r="D165">
        <v>141</v>
      </c>
      <c r="E165">
        <v>521.24565641730442</v>
      </c>
      <c r="F165">
        <v>-204.92565641730442</v>
      </c>
    </row>
    <row r="166" spans="1:6" x14ac:dyDescent="0.3">
      <c r="A166" s="31">
        <v>1098.08</v>
      </c>
      <c r="B166" s="31">
        <v>395.31</v>
      </c>
      <c r="D166">
        <v>142</v>
      </c>
      <c r="E166">
        <v>430.96339353493545</v>
      </c>
      <c r="F166">
        <v>61.536606465064551</v>
      </c>
    </row>
    <row r="167" spans="1:6" x14ac:dyDescent="0.3">
      <c r="A167" s="31">
        <v>827.25</v>
      </c>
      <c r="B167" s="31">
        <v>335.04</v>
      </c>
      <c r="D167">
        <v>143</v>
      </c>
      <c r="E167">
        <v>406.54732531643691</v>
      </c>
      <c r="F167">
        <v>-174.2173253164369</v>
      </c>
    </row>
    <row r="168" spans="1:6" x14ac:dyDescent="0.3">
      <c r="A168" s="31">
        <v>741.88</v>
      </c>
      <c r="B168" s="31">
        <v>333.85</v>
      </c>
      <c r="D168">
        <v>144</v>
      </c>
      <c r="E168">
        <v>135.18126980680128</v>
      </c>
      <c r="F168">
        <v>30.788730193198717</v>
      </c>
    </row>
    <row r="169" spans="1:6" x14ac:dyDescent="0.3">
      <c r="A169" s="31">
        <v>1311.26</v>
      </c>
      <c r="B169" s="31">
        <v>531.05999999999995</v>
      </c>
      <c r="D169">
        <v>145</v>
      </c>
      <c r="E169">
        <v>556.62597426690058</v>
      </c>
      <c r="F169">
        <v>118.87402573309942</v>
      </c>
    </row>
    <row r="170" spans="1:6" x14ac:dyDescent="0.3">
      <c r="A170" s="31">
        <v>573.32000000000005</v>
      </c>
      <c r="B170" s="31">
        <v>232.19</v>
      </c>
      <c r="D170">
        <v>146</v>
      </c>
      <c r="E170">
        <v>117.08762649557883</v>
      </c>
      <c r="F170">
        <v>17.572373504421165</v>
      </c>
    </row>
    <row r="171" spans="1:6" x14ac:dyDescent="0.3">
      <c r="A171" s="31">
        <v>1115.22</v>
      </c>
      <c r="B171" s="31">
        <v>223.04</v>
      </c>
      <c r="D171">
        <v>147</v>
      </c>
      <c r="E171">
        <v>473.9537777684838</v>
      </c>
      <c r="F171">
        <v>13.40622223151621</v>
      </c>
    </row>
    <row r="172" spans="1:6" x14ac:dyDescent="0.3">
      <c r="A172" s="31">
        <v>845.84</v>
      </c>
      <c r="B172" s="31">
        <v>422.92</v>
      </c>
      <c r="D172">
        <v>148</v>
      </c>
      <c r="E172">
        <v>231.44913584777902</v>
      </c>
      <c r="F172">
        <v>83.29086415222099</v>
      </c>
    </row>
    <row r="173" spans="1:6" x14ac:dyDescent="0.3">
      <c r="A173" s="31">
        <v>1029.8</v>
      </c>
      <c r="B173" s="31">
        <v>257.45</v>
      </c>
      <c r="D173">
        <v>149</v>
      </c>
      <c r="E173">
        <v>107.53030937714368</v>
      </c>
      <c r="F173">
        <v>3.8596906228563199</v>
      </c>
    </row>
    <row r="174" spans="1:6" x14ac:dyDescent="0.3">
      <c r="A174" s="31">
        <v>1189.83</v>
      </c>
      <c r="B174" s="31">
        <v>380.75</v>
      </c>
      <c r="D174">
        <v>150</v>
      </c>
      <c r="E174">
        <v>309.34618234686013</v>
      </c>
      <c r="F174">
        <v>9.1238176531398949</v>
      </c>
    </row>
    <row r="175" spans="1:6" x14ac:dyDescent="0.3">
      <c r="A175" s="31">
        <v>704.28</v>
      </c>
      <c r="B175" s="31">
        <v>225.37</v>
      </c>
      <c r="D175">
        <v>151</v>
      </c>
      <c r="E175">
        <v>260.37370351458492</v>
      </c>
      <c r="F175">
        <v>41.376296485415082</v>
      </c>
    </row>
    <row r="176" spans="1:6" x14ac:dyDescent="0.3">
      <c r="A176" s="31">
        <v>1618.22</v>
      </c>
      <c r="B176" s="31">
        <v>582.55999999999995</v>
      </c>
      <c r="D176">
        <v>152</v>
      </c>
      <c r="E176">
        <v>304.29385611685035</v>
      </c>
      <c r="F176">
        <v>109.06614388314966</v>
      </c>
    </row>
    <row r="177" spans="1:6" x14ac:dyDescent="0.3">
      <c r="A177" s="31">
        <v>1014.43</v>
      </c>
      <c r="B177" s="31">
        <v>344.91</v>
      </c>
      <c r="D177">
        <v>153</v>
      </c>
      <c r="E177">
        <v>301.47297397176158</v>
      </c>
      <c r="F177">
        <v>-14.792973971761569</v>
      </c>
    </row>
    <row r="178" spans="1:6" x14ac:dyDescent="0.3">
      <c r="A178" s="31">
        <v>826.97</v>
      </c>
      <c r="B178" s="31">
        <v>330.79</v>
      </c>
      <c r="D178">
        <v>154</v>
      </c>
      <c r="E178">
        <v>409.8839657641725</v>
      </c>
      <c r="F178">
        <v>146.42603423582744</v>
      </c>
    </row>
    <row r="179" spans="1:6" x14ac:dyDescent="0.3">
      <c r="A179" s="31">
        <v>1022.23</v>
      </c>
      <c r="B179" s="31">
        <v>460</v>
      </c>
      <c r="D179">
        <v>155</v>
      </c>
      <c r="E179">
        <v>368.96714042085728</v>
      </c>
      <c r="F179">
        <v>-36.777140420857279</v>
      </c>
    </row>
    <row r="180" spans="1:6" x14ac:dyDescent="0.3">
      <c r="A180" s="31">
        <v>1099.69</v>
      </c>
      <c r="B180" s="31">
        <v>439.88</v>
      </c>
      <c r="D180">
        <v>156</v>
      </c>
      <c r="E180">
        <v>588.83104542333081</v>
      </c>
      <c r="F180">
        <v>-252.5910454233308</v>
      </c>
    </row>
    <row r="181" spans="1:6" x14ac:dyDescent="0.3">
      <c r="A181" s="31">
        <v>710.52</v>
      </c>
      <c r="B181" s="31">
        <v>255.79</v>
      </c>
      <c r="D181">
        <v>157</v>
      </c>
      <c r="E181">
        <v>132.21302814667055</v>
      </c>
      <c r="F181">
        <v>48.176971853329434</v>
      </c>
    </row>
    <row r="182" spans="1:6" x14ac:dyDescent="0.3">
      <c r="A182" s="31">
        <v>499.18</v>
      </c>
      <c r="B182" s="31">
        <v>159.74</v>
      </c>
      <c r="D182">
        <v>158</v>
      </c>
      <c r="E182">
        <v>376.60527528386507</v>
      </c>
      <c r="F182">
        <v>107.74472471613495</v>
      </c>
    </row>
    <row r="183" spans="1:6" x14ac:dyDescent="0.3">
      <c r="A183" s="31">
        <v>1064.19</v>
      </c>
      <c r="B183" s="31">
        <v>404.39</v>
      </c>
      <c r="D183">
        <v>159</v>
      </c>
      <c r="E183">
        <v>437.78754250533058</v>
      </c>
      <c r="F183">
        <v>125.03245749466947</v>
      </c>
    </row>
    <row r="184" spans="1:6" x14ac:dyDescent="0.3">
      <c r="A184" s="31">
        <v>438.76</v>
      </c>
      <c r="B184" s="31">
        <v>187.57</v>
      </c>
      <c r="D184">
        <v>160</v>
      </c>
      <c r="E184">
        <v>391.34473534794216</v>
      </c>
      <c r="F184">
        <v>55.995264652057813</v>
      </c>
    </row>
    <row r="185" spans="1:6" x14ac:dyDescent="0.3">
      <c r="A185" s="31">
        <v>864.98</v>
      </c>
      <c r="B185" s="31">
        <v>410.87</v>
      </c>
      <c r="D185">
        <v>161</v>
      </c>
      <c r="E185">
        <v>568.27439307497866</v>
      </c>
      <c r="F185">
        <v>80.775606925021293</v>
      </c>
    </row>
    <row r="186" spans="1:6" x14ac:dyDescent="0.3">
      <c r="A186" s="31">
        <v>984.93</v>
      </c>
      <c r="B186" s="31">
        <v>275.77999999999997</v>
      </c>
      <c r="D186">
        <v>162</v>
      </c>
      <c r="E186">
        <v>223.74082978713216</v>
      </c>
      <c r="F186">
        <v>-18.740829787132157</v>
      </c>
    </row>
    <row r="187" spans="1:6" x14ac:dyDescent="0.3">
      <c r="A187" s="31">
        <v>1493.49</v>
      </c>
      <c r="B187" s="31">
        <v>746.74</v>
      </c>
      <c r="D187">
        <v>163</v>
      </c>
      <c r="E187">
        <v>204.27533956206676</v>
      </c>
      <c r="F187">
        <v>59.044660437933231</v>
      </c>
    </row>
    <row r="188" spans="1:6" x14ac:dyDescent="0.3">
      <c r="A188" s="31">
        <v>689.43</v>
      </c>
      <c r="B188" s="31">
        <v>310.24</v>
      </c>
      <c r="D188">
        <v>164</v>
      </c>
      <c r="E188">
        <v>388.41157928663097</v>
      </c>
      <c r="F188">
        <v>55.578420713369042</v>
      </c>
    </row>
    <row r="189" spans="1:6" x14ac:dyDescent="0.3">
      <c r="A189" s="31">
        <v>682.24</v>
      </c>
      <c r="B189" s="31">
        <v>341.12</v>
      </c>
      <c r="D189">
        <v>165</v>
      </c>
      <c r="E189">
        <v>384.23639302710899</v>
      </c>
      <c r="F189">
        <v>11.073606972891014</v>
      </c>
    </row>
    <row r="190" spans="1:6" x14ac:dyDescent="0.3">
      <c r="A190" s="31">
        <v>458.54</v>
      </c>
      <c r="B190" s="31">
        <v>91.71</v>
      </c>
      <c r="D190">
        <v>166</v>
      </c>
      <c r="E190">
        <v>289.214065744224</v>
      </c>
      <c r="F190">
        <v>45.825934255776019</v>
      </c>
    </row>
    <row r="191" spans="1:6" x14ac:dyDescent="0.3">
      <c r="A191" s="31">
        <v>1184.25</v>
      </c>
      <c r="B191" s="31">
        <v>331.59</v>
      </c>
      <c r="D191">
        <v>167</v>
      </c>
      <c r="E191">
        <v>259.26149003200635</v>
      </c>
      <c r="F191">
        <v>74.588509967993673</v>
      </c>
    </row>
    <row r="192" spans="1:6" x14ac:dyDescent="0.3">
      <c r="A192" s="31">
        <v>762.14</v>
      </c>
      <c r="B192" s="31">
        <v>381.07</v>
      </c>
      <c r="D192">
        <v>168</v>
      </c>
      <c r="E192">
        <v>459.03187259054522</v>
      </c>
      <c r="F192">
        <v>72.028127409454726</v>
      </c>
    </row>
    <row r="193" spans="1:6" x14ac:dyDescent="0.3">
      <c r="A193" s="31">
        <v>750.71</v>
      </c>
      <c r="B193" s="31">
        <v>255.24</v>
      </c>
      <c r="D193">
        <v>169</v>
      </c>
      <c r="E193">
        <v>200.12120466183654</v>
      </c>
      <c r="F193">
        <v>32.068795338163454</v>
      </c>
    </row>
    <row r="194" spans="1:6" x14ac:dyDescent="0.3">
      <c r="A194" s="31">
        <v>1456.94</v>
      </c>
      <c r="B194" s="31">
        <v>692.05</v>
      </c>
      <c r="D194">
        <v>170</v>
      </c>
      <c r="E194">
        <v>390.25006466477345</v>
      </c>
      <c r="F194">
        <v>-167.21006466477345</v>
      </c>
    </row>
    <row r="195" spans="1:6" x14ac:dyDescent="0.3">
      <c r="A195" s="31">
        <v>1093.3800000000001</v>
      </c>
      <c r="B195" s="31">
        <v>344.41</v>
      </c>
      <c r="D195">
        <v>171</v>
      </c>
      <c r="E195">
        <v>295.73647856477135</v>
      </c>
      <c r="F195">
        <v>127.18352143522867</v>
      </c>
    </row>
    <row r="196" spans="1:6" x14ac:dyDescent="0.3">
      <c r="A196" s="31">
        <v>934.27</v>
      </c>
      <c r="B196" s="31">
        <v>397.06</v>
      </c>
      <c r="D196">
        <v>172</v>
      </c>
      <c r="E196">
        <v>360.27994615314606</v>
      </c>
      <c r="F196">
        <v>-102.82994615314607</v>
      </c>
    </row>
    <row r="197" spans="1:6" x14ac:dyDescent="0.3">
      <c r="A197" s="31">
        <v>1465.35</v>
      </c>
      <c r="B197" s="31">
        <v>586.14</v>
      </c>
      <c r="D197">
        <v>173</v>
      </c>
      <c r="E197">
        <v>416.42742994401146</v>
      </c>
      <c r="F197">
        <v>-35.677429944011465</v>
      </c>
    </row>
    <row r="198" spans="1:6" x14ac:dyDescent="0.3">
      <c r="A198" s="31">
        <v>740.8</v>
      </c>
      <c r="B198" s="31">
        <v>333.36</v>
      </c>
      <c r="D198">
        <v>174</v>
      </c>
      <c r="E198">
        <v>246.06930487586976</v>
      </c>
      <c r="F198">
        <v>-20.699304875869757</v>
      </c>
    </row>
    <row r="199" spans="1:6" x14ac:dyDescent="0.3">
      <c r="A199" s="31">
        <v>545.44000000000005</v>
      </c>
      <c r="B199" s="31">
        <v>245.45</v>
      </c>
      <c r="D199">
        <v>175</v>
      </c>
      <c r="E199">
        <v>566.73062672692004</v>
      </c>
      <c r="F199">
        <v>15.829373273079909</v>
      </c>
    </row>
    <row r="200" spans="1:6" x14ac:dyDescent="0.3">
      <c r="A200" s="31">
        <v>997.61</v>
      </c>
      <c r="B200" s="31">
        <v>379.09</v>
      </c>
      <c r="D200">
        <v>176</v>
      </c>
      <c r="E200">
        <v>354.88728961458702</v>
      </c>
      <c r="F200">
        <v>-9.9772896145869936</v>
      </c>
    </row>
    <row r="201" spans="1:6" x14ac:dyDescent="0.3">
      <c r="A201" s="31">
        <v>928.32</v>
      </c>
      <c r="B201" s="31">
        <v>440.95</v>
      </c>
      <c r="D201">
        <v>177</v>
      </c>
      <c r="E201">
        <v>289.11582606752938</v>
      </c>
      <c r="F201">
        <v>41.674173932470637</v>
      </c>
    </row>
    <row r="202" spans="1:6" x14ac:dyDescent="0.3">
      <c r="D202">
        <v>178</v>
      </c>
      <c r="E202">
        <v>357.62396632250898</v>
      </c>
      <c r="F202">
        <v>102.37603367749102</v>
      </c>
    </row>
    <row r="203" spans="1:6" x14ac:dyDescent="0.3">
      <c r="D203">
        <v>179</v>
      </c>
      <c r="E203">
        <v>384.8012711681032</v>
      </c>
      <c r="F203">
        <v>55.078728831896797</v>
      </c>
    </row>
    <row r="204" spans="1:6" x14ac:dyDescent="0.3">
      <c r="D204">
        <v>180</v>
      </c>
      <c r="E204">
        <v>248.25864624220733</v>
      </c>
      <c r="F204">
        <v>7.5313537577926581</v>
      </c>
    </row>
    <row r="205" spans="1:6" x14ac:dyDescent="0.3">
      <c r="D205">
        <v>181</v>
      </c>
      <c r="E205">
        <v>174.10874169705014</v>
      </c>
      <c r="F205">
        <v>-14.368741697050126</v>
      </c>
    </row>
    <row r="206" spans="1:6" x14ac:dyDescent="0.3">
      <c r="D206">
        <v>182</v>
      </c>
      <c r="E206">
        <v>372.34588358717633</v>
      </c>
      <c r="F206">
        <v>32.044116412823655</v>
      </c>
    </row>
    <row r="207" spans="1:6" x14ac:dyDescent="0.3">
      <c r="D207">
        <v>183</v>
      </c>
      <c r="E207">
        <v>152.91002289030084</v>
      </c>
      <c r="F207">
        <v>34.659977109699156</v>
      </c>
    </row>
    <row r="208" spans="1:6" x14ac:dyDescent="0.3">
      <c r="D208">
        <v>184</v>
      </c>
      <c r="E208">
        <v>302.45186217882593</v>
      </c>
      <c r="F208">
        <v>108.41813782117407</v>
      </c>
    </row>
    <row r="209" spans="4:6" x14ac:dyDescent="0.3">
      <c r="D209">
        <v>185</v>
      </c>
      <c r="E209">
        <v>344.53703796283088</v>
      </c>
      <c r="F209">
        <v>-68.757037962830907</v>
      </c>
    </row>
    <row r="210" spans="4:6" x14ac:dyDescent="0.3">
      <c r="D210">
        <v>186</v>
      </c>
      <c r="E210">
        <v>522.96835931934243</v>
      </c>
      <c r="F210">
        <v>223.77164068065758</v>
      </c>
    </row>
    <row r="211" spans="4:6" x14ac:dyDescent="0.3">
      <c r="D211">
        <v>187</v>
      </c>
      <c r="E211">
        <v>240.85909345117219</v>
      </c>
      <c r="F211">
        <v>69.380906548827824</v>
      </c>
    </row>
    <row r="212" spans="4:6" x14ac:dyDescent="0.3">
      <c r="D212">
        <v>188</v>
      </c>
      <c r="E212">
        <v>238.33643889604926</v>
      </c>
      <c r="F212">
        <v>102.78356110395075</v>
      </c>
    </row>
    <row r="213" spans="4:6" x14ac:dyDescent="0.3">
      <c r="D213">
        <v>189</v>
      </c>
      <c r="E213">
        <v>159.84995433680035</v>
      </c>
      <c r="F213">
        <v>-68.139954336800358</v>
      </c>
    </row>
    <row r="214" spans="4:6" x14ac:dyDescent="0.3">
      <c r="D214">
        <v>190</v>
      </c>
      <c r="E214">
        <v>414.46965352988275</v>
      </c>
      <c r="F214">
        <v>-82.879653529882773</v>
      </c>
    </row>
    <row r="215" spans="4:6" x14ac:dyDescent="0.3">
      <c r="D215">
        <v>191</v>
      </c>
      <c r="E215">
        <v>266.36983235283952</v>
      </c>
      <c r="F215">
        <v>114.70016764716047</v>
      </c>
    </row>
    <row r="216" spans="4:6" x14ac:dyDescent="0.3">
      <c r="D216">
        <v>192</v>
      </c>
      <c r="E216">
        <v>262.3595484077693</v>
      </c>
      <c r="F216">
        <v>-7.1195484077692868</v>
      </c>
    </row>
    <row r="217" spans="4:6" x14ac:dyDescent="0.3">
      <c r="D217">
        <v>193</v>
      </c>
      <c r="E217">
        <v>510.1445729508107</v>
      </c>
      <c r="F217">
        <v>181.90542704918926</v>
      </c>
    </row>
    <row r="218" spans="4:6" x14ac:dyDescent="0.3">
      <c r="D218">
        <v>194</v>
      </c>
      <c r="E218">
        <v>382.58736988259199</v>
      </c>
      <c r="F218">
        <v>-38.177369882591961</v>
      </c>
    </row>
    <row r="219" spans="4:6" x14ac:dyDescent="0.3">
      <c r="D219">
        <v>195</v>
      </c>
      <c r="E219">
        <v>326.76267360086598</v>
      </c>
      <c r="F219">
        <v>70.297326399134022</v>
      </c>
    </row>
    <row r="220" spans="4:6" x14ac:dyDescent="0.3">
      <c r="D220">
        <v>196</v>
      </c>
      <c r="E220">
        <v>513.09527181153157</v>
      </c>
      <c r="F220">
        <v>73.044728188468412</v>
      </c>
    </row>
    <row r="221" spans="4:6" x14ac:dyDescent="0.3">
      <c r="D221">
        <v>197</v>
      </c>
      <c r="E221">
        <v>258.88256556475562</v>
      </c>
      <c r="F221">
        <v>74.47743443524439</v>
      </c>
    </row>
    <row r="222" spans="4:6" x14ac:dyDescent="0.3">
      <c r="D222">
        <v>198</v>
      </c>
      <c r="E222">
        <v>190.33933971095652</v>
      </c>
      <c r="F222">
        <v>55.110660289043466</v>
      </c>
    </row>
    <row r="223" spans="4:6" x14ac:dyDescent="0.3">
      <c r="D223">
        <v>199</v>
      </c>
      <c r="E223">
        <v>348.98589189314504</v>
      </c>
      <c r="F223">
        <v>30.104108106854937</v>
      </c>
    </row>
    <row r="224" spans="4:6" ht="15" thickBot="1" x14ac:dyDescent="0.35">
      <c r="D224" s="18">
        <v>200</v>
      </c>
      <c r="E224" s="18">
        <v>324.67508047110505</v>
      </c>
      <c r="F224" s="18">
        <v>116.27491952889494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78FE-EF8C-4251-87D5-D3F6B03E13F2}">
  <dimension ref="A1:M201"/>
  <sheetViews>
    <sheetView workbookViewId="0">
      <selection activeCell="O18" sqref="O18"/>
    </sheetView>
  </sheetViews>
  <sheetFormatPr defaultRowHeight="14.4" x14ac:dyDescent="0.3"/>
  <cols>
    <col min="1" max="1" width="8" bestFit="1" customWidth="1"/>
    <col min="2" max="2" width="7" bestFit="1" customWidth="1"/>
    <col min="3" max="3" width="10.33203125" bestFit="1" customWidth="1"/>
    <col min="5" max="5" width="16.5546875" bestFit="1" customWidth="1"/>
    <col min="6" max="6" width="12.6640625" bestFit="1" customWidth="1"/>
    <col min="7" max="7" width="16.5546875" bestFit="1" customWidth="1"/>
    <col min="8" max="8" width="12" bestFit="1" customWidth="1"/>
    <col min="9" max="9" width="16.5546875" bestFit="1" customWidth="1"/>
    <col min="10" max="10" width="12.6640625" bestFit="1" customWidth="1"/>
    <col min="13" max="13" width="9.88671875" bestFit="1" customWidth="1"/>
  </cols>
  <sheetData>
    <row r="1" spans="1:13" ht="18" x14ac:dyDescent="0.35">
      <c r="A1" s="35" t="s">
        <v>6</v>
      </c>
      <c r="B1" s="35" t="s">
        <v>10</v>
      </c>
      <c r="C1" s="35" t="s">
        <v>7</v>
      </c>
      <c r="E1" s="36" t="s">
        <v>6</v>
      </c>
      <c r="F1" s="32"/>
      <c r="G1" s="37" t="s">
        <v>10</v>
      </c>
      <c r="H1" s="32"/>
      <c r="I1" s="36" t="s">
        <v>7</v>
      </c>
      <c r="J1" s="32"/>
      <c r="L1" s="32" t="s">
        <v>117</v>
      </c>
      <c r="M1" s="32" t="s">
        <v>119</v>
      </c>
    </row>
    <row r="2" spans="1:13" x14ac:dyDescent="0.3">
      <c r="A2" s="31">
        <v>1036.0899999999999</v>
      </c>
      <c r="B2" s="31">
        <v>331.55</v>
      </c>
      <c r="C2" s="31">
        <v>4</v>
      </c>
      <c r="L2">
        <v>258.51</v>
      </c>
      <c r="M2">
        <v>1</v>
      </c>
    </row>
    <row r="3" spans="1:13" x14ac:dyDescent="0.3">
      <c r="A3" s="31">
        <v>1101.28</v>
      </c>
      <c r="B3" s="31">
        <v>440.51</v>
      </c>
      <c r="C3" s="31">
        <v>3</v>
      </c>
      <c r="E3" t="s">
        <v>104</v>
      </c>
      <c r="F3">
        <v>976.08879999999965</v>
      </c>
      <c r="G3" t="s">
        <v>104</v>
      </c>
      <c r="H3">
        <v>341.43505000000005</v>
      </c>
      <c r="I3" t="s">
        <v>104</v>
      </c>
      <c r="J3">
        <v>9.9949999999999992</v>
      </c>
      <c r="L3">
        <v>377.44928571428568</v>
      </c>
      <c r="M3">
        <v>2</v>
      </c>
    </row>
    <row r="4" spans="1:13" x14ac:dyDescent="0.3">
      <c r="A4" s="31">
        <v>713.34</v>
      </c>
      <c r="B4" s="31">
        <v>285.33999999999997</v>
      </c>
      <c r="C4" s="31">
        <v>17</v>
      </c>
      <c r="E4" t="s">
        <v>85</v>
      </c>
      <c r="F4">
        <v>21.161850448978406</v>
      </c>
      <c r="G4" t="s">
        <v>85</v>
      </c>
      <c r="H4">
        <v>9.6001196472332531</v>
      </c>
      <c r="I4" t="s">
        <v>85</v>
      </c>
      <c r="J4">
        <v>0.39927682743257598</v>
      </c>
      <c r="L4">
        <v>496.38857142857142</v>
      </c>
      <c r="M4">
        <v>7</v>
      </c>
    </row>
    <row r="5" spans="1:13" x14ac:dyDescent="0.3">
      <c r="A5" s="31">
        <v>760.93</v>
      </c>
      <c r="B5" s="31">
        <v>161.69999999999999</v>
      </c>
      <c r="C5" s="31">
        <v>4</v>
      </c>
      <c r="E5" t="s">
        <v>105</v>
      </c>
      <c r="F5">
        <v>976.72</v>
      </c>
      <c r="G5" t="s">
        <v>105</v>
      </c>
      <c r="H5">
        <v>332.255</v>
      </c>
      <c r="I5" t="s">
        <v>105</v>
      </c>
      <c r="J5">
        <v>10</v>
      </c>
      <c r="L5">
        <v>615.32785714285717</v>
      </c>
      <c r="M5">
        <v>13</v>
      </c>
    </row>
    <row r="6" spans="1:13" x14ac:dyDescent="0.3">
      <c r="A6" s="31">
        <v>847</v>
      </c>
      <c r="B6" s="31">
        <v>271.04000000000002</v>
      </c>
      <c r="C6" s="31">
        <v>12</v>
      </c>
      <c r="E6" t="s">
        <v>106</v>
      </c>
      <c r="F6" t="e">
        <v>#N/A</v>
      </c>
      <c r="G6" t="s">
        <v>106</v>
      </c>
      <c r="H6" t="e">
        <v>#N/A</v>
      </c>
      <c r="I6" t="s">
        <v>106</v>
      </c>
      <c r="J6">
        <v>8</v>
      </c>
      <c r="L6">
        <v>734.26714285714286</v>
      </c>
      <c r="M6">
        <v>19</v>
      </c>
    </row>
    <row r="7" spans="1:13" x14ac:dyDescent="0.3">
      <c r="A7" s="31">
        <v>965.64</v>
      </c>
      <c r="B7" s="31">
        <v>304.18</v>
      </c>
      <c r="C7" s="31">
        <v>8</v>
      </c>
      <c r="E7" t="s">
        <v>107</v>
      </c>
      <c r="F7">
        <v>299.27375909856431</v>
      </c>
      <c r="G7" t="s">
        <v>107</v>
      </c>
      <c r="H7">
        <v>135.7661940552168</v>
      </c>
      <c r="I7" t="s">
        <v>107</v>
      </c>
      <c r="J7">
        <v>5.6466270449645082</v>
      </c>
      <c r="L7">
        <v>853.20642857142855</v>
      </c>
      <c r="M7">
        <v>28</v>
      </c>
    </row>
    <row r="8" spans="1:13" x14ac:dyDescent="0.3">
      <c r="A8" s="31">
        <v>1317.53</v>
      </c>
      <c r="B8" s="31">
        <v>312.91000000000003</v>
      </c>
      <c r="C8" s="31">
        <v>12</v>
      </c>
      <c r="E8" t="s">
        <v>108</v>
      </c>
      <c r="F8">
        <v>89564.782884985514</v>
      </c>
      <c r="G8" t="s">
        <v>108</v>
      </c>
      <c r="H8">
        <v>18432.459448238787</v>
      </c>
      <c r="I8" t="s">
        <v>108</v>
      </c>
      <c r="J8">
        <v>31.884396984924617</v>
      </c>
      <c r="L8">
        <v>972.14571428571435</v>
      </c>
      <c r="M8">
        <v>29</v>
      </c>
    </row>
    <row r="9" spans="1:13" x14ac:dyDescent="0.3">
      <c r="A9" s="31">
        <v>1074.47</v>
      </c>
      <c r="B9" s="31">
        <v>300.85000000000002</v>
      </c>
      <c r="C9" s="31">
        <v>6</v>
      </c>
      <c r="E9" t="s">
        <v>109</v>
      </c>
      <c r="F9">
        <v>-8.8595231919740502E-2</v>
      </c>
      <c r="G9" t="s">
        <v>109</v>
      </c>
      <c r="H9">
        <v>0.26450643813582442</v>
      </c>
      <c r="I9" t="s">
        <v>109</v>
      </c>
      <c r="J9">
        <v>-1.2091053826620759</v>
      </c>
      <c r="L9">
        <v>1091.085</v>
      </c>
      <c r="M9">
        <v>31</v>
      </c>
    </row>
    <row r="10" spans="1:13" x14ac:dyDescent="0.3">
      <c r="A10" s="31">
        <v>501.54</v>
      </c>
      <c r="B10" s="31">
        <v>190.59</v>
      </c>
      <c r="C10" s="31">
        <v>11</v>
      </c>
      <c r="E10" t="s">
        <v>110</v>
      </c>
      <c r="F10">
        <v>0.14685796564193557</v>
      </c>
      <c r="G10" t="s">
        <v>110</v>
      </c>
      <c r="H10">
        <v>0.57339636063424715</v>
      </c>
      <c r="I10" t="s">
        <v>110</v>
      </c>
      <c r="J10">
        <v>6.084586432077814E-2</v>
      </c>
      <c r="L10">
        <v>1210.0242857142857</v>
      </c>
      <c r="M10">
        <v>28</v>
      </c>
    </row>
    <row r="11" spans="1:13" x14ac:dyDescent="0.3">
      <c r="A11" s="31">
        <v>737.31</v>
      </c>
      <c r="B11" s="31">
        <v>350.22</v>
      </c>
      <c r="C11" s="31">
        <v>2</v>
      </c>
      <c r="E11" t="s">
        <v>111</v>
      </c>
      <c r="F11">
        <v>1665.15</v>
      </c>
      <c r="G11" t="s">
        <v>111</v>
      </c>
      <c r="H11">
        <v>704.83</v>
      </c>
      <c r="I11" t="s">
        <v>111</v>
      </c>
      <c r="J11">
        <v>18</v>
      </c>
      <c r="L11">
        <v>1328.9635714285714</v>
      </c>
      <c r="M11">
        <v>17</v>
      </c>
    </row>
    <row r="12" spans="1:13" x14ac:dyDescent="0.3">
      <c r="A12" s="31">
        <v>1572.82</v>
      </c>
      <c r="B12" s="31">
        <v>672.38</v>
      </c>
      <c r="C12" s="31">
        <v>6</v>
      </c>
      <c r="E12" t="s">
        <v>112</v>
      </c>
      <c r="F12">
        <v>258.51</v>
      </c>
      <c r="G12" t="s">
        <v>112</v>
      </c>
      <c r="H12">
        <v>64.63</v>
      </c>
      <c r="I12" t="s">
        <v>112</v>
      </c>
      <c r="J12">
        <v>1</v>
      </c>
      <c r="L12">
        <v>1447.9028571428571</v>
      </c>
      <c r="M12">
        <v>11</v>
      </c>
    </row>
    <row r="13" spans="1:13" x14ac:dyDescent="0.3">
      <c r="A13" s="31">
        <v>1343.13</v>
      </c>
      <c r="B13" s="31">
        <v>456.66</v>
      </c>
      <c r="C13" s="31">
        <v>14</v>
      </c>
      <c r="E13" t="s">
        <v>113</v>
      </c>
      <c r="F13">
        <v>1923.66</v>
      </c>
      <c r="G13" t="s">
        <v>113</v>
      </c>
      <c r="H13">
        <v>769.46</v>
      </c>
      <c r="I13" t="s">
        <v>113</v>
      </c>
      <c r="J13">
        <v>19</v>
      </c>
      <c r="L13">
        <v>1566.8421428571428</v>
      </c>
      <c r="M13">
        <v>8</v>
      </c>
    </row>
    <row r="14" spans="1:13" x14ac:dyDescent="0.3">
      <c r="A14" s="31">
        <v>1191.58</v>
      </c>
      <c r="B14" s="31">
        <v>452.8</v>
      </c>
      <c r="C14" s="31">
        <v>14</v>
      </c>
      <c r="E14" t="s">
        <v>114</v>
      </c>
      <c r="F14">
        <v>195217.75999999992</v>
      </c>
      <c r="G14" t="s">
        <v>114</v>
      </c>
      <c r="H14">
        <v>68287.010000000009</v>
      </c>
      <c r="I14" t="s">
        <v>114</v>
      </c>
      <c r="J14">
        <v>1999</v>
      </c>
      <c r="L14">
        <v>1685.7814285714287</v>
      </c>
      <c r="M14">
        <v>5</v>
      </c>
    </row>
    <row r="15" spans="1:13" ht="15" thickBot="1" x14ac:dyDescent="0.35">
      <c r="A15" s="31">
        <v>822.28</v>
      </c>
      <c r="B15" s="31">
        <v>273.41000000000003</v>
      </c>
      <c r="C15" s="31">
        <v>7</v>
      </c>
      <c r="E15" s="18" t="s">
        <v>115</v>
      </c>
      <c r="F15" s="18">
        <v>200</v>
      </c>
      <c r="G15" s="18" t="s">
        <v>115</v>
      </c>
      <c r="H15" s="18">
        <v>200</v>
      </c>
      <c r="I15" s="18" t="s">
        <v>115</v>
      </c>
      <c r="J15" s="18">
        <v>200</v>
      </c>
      <c r="L15">
        <v>1804.7207142857144</v>
      </c>
      <c r="M15">
        <v>0</v>
      </c>
    </row>
    <row r="16" spans="1:13" ht="15" thickBot="1" x14ac:dyDescent="0.35">
      <c r="A16" s="31">
        <v>521.66999999999996</v>
      </c>
      <c r="B16" s="31">
        <v>155.19999999999999</v>
      </c>
      <c r="C16" s="31">
        <v>15</v>
      </c>
      <c r="L16" s="18" t="s">
        <v>118</v>
      </c>
      <c r="M16" s="18">
        <v>1</v>
      </c>
    </row>
    <row r="17" spans="1:3" x14ac:dyDescent="0.3">
      <c r="A17" s="31">
        <v>1502.93</v>
      </c>
      <c r="B17" s="31">
        <v>300.58999999999997</v>
      </c>
      <c r="C17" s="31">
        <v>14</v>
      </c>
    </row>
    <row r="18" spans="1:3" x14ac:dyDescent="0.3">
      <c r="A18" s="31">
        <v>877.58</v>
      </c>
      <c r="B18" s="31">
        <v>298.38</v>
      </c>
      <c r="C18" s="31">
        <v>10</v>
      </c>
    </row>
    <row r="19" spans="1:3" x14ac:dyDescent="0.3">
      <c r="A19" s="31">
        <v>636.70000000000005</v>
      </c>
      <c r="B19" s="31">
        <v>203.74</v>
      </c>
      <c r="C19" s="31">
        <v>4</v>
      </c>
    </row>
    <row r="20" spans="1:3" x14ac:dyDescent="0.3">
      <c r="A20" s="31">
        <v>1506.14</v>
      </c>
      <c r="B20" s="31">
        <v>481.96</v>
      </c>
      <c r="C20" s="31">
        <v>13</v>
      </c>
    </row>
    <row r="21" spans="1:3" x14ac:dyDescent="0.3">
      <c r="A21" s="31">
        <v>645.02</v>
      </c>
      <c r="B21" s="31">
        <v>161.26</v>
      </c>
      <c r="C21" s="31">
        <v>4</v>
      </c>
    </row>
    <row r="22" spans="1:3" x14ac:dyDescent="0.3">
      <c r="A22" s="31">
        <v>953.3</v>
      </c>
      <c r="B22" s="31">
        <v>476.65</v>
      </c>
      <c r="C22" s="31">
        <v>11</v>
      </c>
    </row>
    <row r="23" spans="1:3" x14ac:dyDescent="0.3">
      <c r="A23" s="31">
        <v>388.56</v>
      </c>
      <c r="B23" s="31">
        <v>82.57</v>
      </c>
      <c r="C23" s="31">
        <v>14</v>
      </c>
    </row>
    <row r="24" spans="1:3" x14ac:dyDescent="0.3">
      <c r="A24" s="31">
        <v>743.17</v>
      </c>
      <c r="B24" s="31">
        <v>297.27</v>
      </c>
      <c r="C24" s="31">
        <v>9</v>
      </c>
    </row>
    <row r="25" spans="1:3" x14ac:dyDescent="0.3">
      <c r="A25" s="31">
        <v>706.37</v>
      </c>
      <c r="B25" s="31">
        <v>176.59</v>
      </c>
      <c r="C25" s="31">
        <v>6</v>
      </c>
    </row>
    <row r="26" spans="1:3" x14ac:dyDescent="0.3">
      <c r="A26" s="31">
        <v>925.31</v>
      </c>
      <c r="B26" s="31">
        <v>374.75</v>
      </c>
      <c r="C26" s="31">
        <v>8</v>
      </c>
    </row>
    <row r="27" spans="1:3" x14ac:dyDescent="0.3">
      <c r="A27" s="31">
        <v>1173.1199999999999</v>
      </c>
      <c r="B27" s="31">
        <v>293.27999999999997</v>
      </c>
      <c r="C27" s="31">
        <v>18</v>
      </c>
    </row>
    <row r="28" spans="1:3" x14ac:dyDescent="0.3">
      <c r="A28" s="31">
        <v>675.54</v>
      </c>
      <c r="B28" s="31">
        <v>236.44</v>
      </c>
      <c r="C28" s="31">
        <v>17</v>
      </c>
    </row>
    <row r="29" spans="1:3" x14ac:dyDescent="0.3">
      <c r="A29" s="31">
        <v>939.09</v>
      </c>
      <c r="B29" s="31">
        <v>356.85</v>
      </c>
      <c r="C29" s="31">
        <v>2</v>
      </c>
    </row>
    <row r="30" spans="1:3" x14ac:dyDescent="0.3">
      <c r="A30" s="31">
        <v>983.34</v>
      </c>
      <c r="B30" s="31">
        <v>398.25</v>
      </c>
      <c r="C30" s="31">
        <v>19</v>
      </c>
    </row>
    <row r="31" spans="1:3" x14ac:dyDescent="0.3">
      <c r="A31" s="31">
        <v>801.21</v>
      </c>
      <c r="B31" s="31">
        <v>160.24</v>
      </c>
      <c r="C31" s="31">
        <v>3</v>
      </c>
    </row>
    <row r="32" spans="1:3" x14ac:dyDescent="0.3">
      <c r="A32" s="31">
        <v>1450.71</v>
      </c>
      <c r="B32" s="31">
        <v>326.41000000000003</v>
      </c>
      <c r="C32" s="31">
        <v>5</v>
      </c>
    </row>
    <row r="33" spans="1:3" x14ac:dyDescent="0.3">
      <c r="A33" s="31">
        <v>1023.21</v>
      </c>
      <c r="B33" s="31">
        <v>388.82</v>
      </c>
      <c r="C33" s="31">
        <v>18</v>
      </c>
    </row>
    <row r="34" spans="1:3" x14ac:dyDescent="0.3">
      <c r="A34" s="31">
        <v>853.72</v>
      </c>
      <c r="B34" s="31">
        <v>253.98</v>
      </c>
      <c r="C34" s="31">
        <v>5</v>
      </c>
    </row>
    <row r="35" spans="1:3" x14ac:dyDescent="0.3">
      <c r="A35" s="31">
        <v>967.89</v>
      </c>
      <c r="B35" s="31">
        <v>217.78</v>
      </c>
      <c r="C35" s="31">
        <v>10</v>
      </c>
    </row>
    <row r="36" spans="1:3" x14ac:dyDescent="0.3">
      <c r="A36" s="31">
        <v>1200.9000000000001</v>
      </c>
      <c r="B36" s="31">
        <v>513.38</v>
      </c>
      <c r="C36" s="31">
        <v>14</v>
      </c>
    </row>
    <row r="37" spans="1:3" x14ac:dyDescent="0.3">
      <c r="A37" s="31">
        <v>472.38</v>
      </c>
      <c r="B37" s="31">
        <v>151.16</v>
      </c>
      <c r="C37" s="31">
        <v>12</v>
      </c>
    </row>
    <row r="38" spans="1:3" x14ac:dyDescent="0.3">
      <c r="A38" s="31">
        <v>840.92</v>
      </c>
      <c r="B38" s="31">
        <v>359.49</v>
      </c>
      <c r="C38" s="31">
        <v>9</v>
      </c>
    </row>
    <row r="39" spans="1:3" x14ac:dyDescent="0.3">
      <c r="A39" s="31">
        <v>1410.06</v>
      </c>
      <c r="B39" s="31">
        <v>468.84</v>
      </c>
      <c r="C39" s="31">
        <v>11</v>
      </c>
    </row>
    <row r="40" spans="1:3" x14ac:dyDescent="0.3">
      <c r="A40" s="31">
        <v>773.09</v>
      </c>
      <c r="B40" s="31">
        <v>229.99</v>
      </c>
      <c r="C40" s="31">
        <v>13</v>
      </c>
    </row>
    <row r="41" spans="1:3" x14ac:dyDescent="0.3">
      <c r="A41" s="31">
        <v>580.42999999999995</v>
      </c>
      <c r="B41" s="31">
        <v>197.35</v>
      </c>
      <c r="C41" s="31">
        <v>19</v>
      </c>
    </row>
    <row r="42" spans="1:3" x14ac:dyDescent="0.3">
      <c r="A42" s="31">
        <v>1151.21</v>
      </c>
      <c r="B42" s="31">
        <v>414.44</v>
      </c>
      <c r="C42" s="31">
        <v>15</v>
      </c>
    </row>
    <row r="43" spans="1:3" x14ac:dyDescent="0.3">
      <c r="A43" s="31">
        <v>1025.98</v>
      </c>
      <c r="B43" s="31">
        <v>369.35</v>
      </c>
      <c r="C43" s="31">
        <v>5</v>
      </c>
    </row>
    <row r="44" spans="1:3" x14ac:dyDescent="0.3">
      <c r="A44" s="31">
        <v>556.41999999999996</v>
      </c>
      <c r="B44" s="31">
        <v>212.83</v>
      </c>
      <c r="C44" s="31">
        <v>11</v>
      </c>
    </row>
    <row r="45" spans="1:3" x14ac:dyDescent="0.3">
      <c r="A45" s="31">
        <v>840.85</v>
      </c>
      <c r="B45" s="31">
        <v>302.70999999999998</v>
      </c>
      <c r="C45" s="31">
        <v>19</v>
      </c>
    </row>
    <row r="46" spans="1:3" x14ac:dyDescent="0.3">
      <c r="A46" s="31">
        <v>1227.25</v>
      </c>
      <c r="B46" s="31">
        <v>365.11</v>
      </c>
      <c r="C46" s="31">
        <v>12</v>
      </c>
    </row>
    <row r="47" spans="1:3" x14ac:dyDescent="0.3">
      <c r="A47" s="31">
        <v>856.7</v>
      </c>
      <c r="B47" s="31">
        <v>214.18</v>
      </c>
      <c r="C47" s="31">
        <v>2</v>
      </c>
    </row>
    <row r="48" spans="1:3" x14ac:dyDescent="0.3">
      <c r="A48" s="31">
        <v>1225.42</v>
      </c>
      <c r="B48" s="31">
        <v>468.72</v>
      </c>
      <c r="C48" s="31">
        <v>8</v>
      </c>
    </row>
    <row r="49" spans="1:3" x14ac:dyDescent="0.3">
      <c r="A49" s="31">
        <v>1001.57</v>
      </c>
      <c r="B49" s="31">
        <v>450.71</v>
      </c>
      <c r="C49" s="31">
        <v>12</v>
      </c>
    </row>
    <row r="50" spans="1:3" x14ac:dyDescent="0.3">
      <c r="A50" s="31">
        <v>1186.8499999999999</v>
      </c>
      <c r="B50" s="31">
        <v>332.32</v>
      </c>
      <c r="C50" s="31">
        <v>19</v>
      </c>
    </row>
    <row r="51" spans="1:3" x14ac:dyDescent="0.3">
      <c r="A51" s="31">
        <v>775.45</v>
      </c>
      <c r="B51" s="31">
        <v>174.48</v>
      </c>
      <c r="C51" s="31">
        <v>6</v>
      </c>
    </row>
    <row r="52" spans="1:3" x14ac:dyDescent="0.3">
      <c r="A52" s="31">
        <v>1021.47</v>
      </c>
      <c r="B52" s="31">
        <v>242.6</v>
      </c>
      <c r="C52" s="31">
        <v>6</v>
      </c>
    </row>
    <row r="53" spans="1:3" x14ac:dyDescent="0.3">
      <c r="A53" s="31">
        <v>1226.6199999999999</v>
      </c>
      <c r="B53" s="31">
        <v>551.98</v>
      </c>
      <c r="C53" s="31">
        <v>7</v>
      </c>
    </row>
    <row r="54" spans="1:3" x14ac:dyDescent="0.3">
      <c r="A54" s="31">
        <v>1086.93</v>
      </c>
      <c r="B54" s="31">
        <v>380.43</v>
      </c>
      <c r="C54" s="31">
        <v>2</v>
      </c>
    </row>
    <row r="55" spans="1:3" x14ac:dyDescent="0.3">
      <c r="A55" s="31">
        <v>942.9</v>
      </c>
      <c r="B55" s="31">
        <v>339.44</v>
      </c>
      <c r="C55" s="31">
        <v>18</v>
      </c>
    </row>
    <row r="56" spans="1:3" x14ac:dyDescent="0.3">
      <c r="A56" s="31">
        <v>818.8</v>
      </c>
      <c r="B56" s="31">
        <v>173.99</v>
      </c>
      <c r="C56" s="31">
        <v>15</v>
      </c>
    </row>
    <row r="57" spans="1:3" x14ac:dyDescent="0.3">
      <c r="A57" s="31">
        <v>919.04</v>
      </c>
      <c r="B57" s="31">
        <v>257.33</v>
      </c>
      <c r="C57" s="31">
        <v>10</v>
      </c>
    </row>
    <row r="58" spans="1:3" x14ac:dyDescent="0.3">
      <c r="A58" s="31">
        <v>973.26</v>
      </c>
      <c r="B58" s="31">
        <v>389.3</v>
      </c>
      <c r="C58" s="31">
        <v>11</v>
      </c>
    </row>
    <row r="59" spans="1:3" x14ac:dyDescent="0.3">
      <c r="A59" s="31">
        <v>741.61</v>
      </c>
      <c r="B59" s="31">
        <v>148.32</v>
      </c>
      <c r="C59" s="31">
        <v>1</v>
      </c>
    </row>
    <row r="60" spans="1:3" x14ac:dyDescent="0.3">
      <c r="A60" s="31">
        <v>1248.82</v>
      </c>
      <c r="B60" s="31">
        <v>449.58</v>
      </c>
      <c r="C60" s="31">
        <v>2</v>
      </c>
    </row>
    <row r="61" spans="1:3" x14ac:dyDescent="0.3">
      <c r="A61" s="31">
        <v>1360.36</v>
      </c>
      <c r="B61" s="31">
        <v>680.18</v>
      </c>
      <c r="C61" s="31">
        <v>17</v>
      </c>
    </row>
    <row r="62" spans="1:3" x14ac:dyDescent="0.3">
      <c r="A62" s="31">
        <v>1383.3</v>
      </c>
      <c r="B62" s="31">
        <v>497.99</v>
      </c>
      <c r="C62" s="31">
        <v>8</v>
      </c>
    </row>
    <row r="63" spans="1:3" x14ac:dyDescent="0.3">
      <c r="A63" s="31">
        <v>488.99</v>
      </c>
      <c r="B63" s="31">
        <v>220.05</v>
      </c>
      <c r="C63" s="31">
        <v>9</v>
      </c>
    </row>
    <row r="64" spans="1:3" x14ac:dyDescent="0.3">
      <c r="A64" s="31">
        <v>933.71</v>
      </c>
      <c r="B64" s="31">
        <v>294.12</v>
      </c>
      <c r="C64" s="31">
        <v>17</v>
      </c>
    </row>
    <row r="65" spans="1:3" x14ac:dyDescent="0.3">
      <c r="A65" s="31">
        <v>1005.53</v>
      </c>
      <c r="B65" s="31">
        <v>201.11</v>
      </c>
      <c r="C65" s="31">
        <v>17</v>
      </c>
    </row>
    <row r="66" spans="1:3" x14ac:dyDescent="0.3">
      <c r="A66" s="31">
        <v>1100.0999999999999</v>
      </c>
      <c r="B66" s="31">
        <v>261.27</v>
      </c>
      <c r="C66" s="31">
        <v>5</v>
      </c>
    </row>
    <row r="67" spans="1:3" x14ac:dyDescent="0.3">
      <c r="A67" s="31">
        <v>1034.7</v>
      </c>
      <c r="B67" s="31">
        <v>307.82</v>
      </c>
      <c r="C67" s="31">
        <v>15</v>
      </c>
    </row>
    <row r="68" spans="1:3" x14ac:dyDescent="0.3">
      <c r="A68" s="31">
        <v>876.44</v>
      </c>
      <c r="B68" s="31">
        <v>333.05</v>
      </c>
      <c r="C68" s="31">
        <v>12</v>
      </c>
    </row>
    <row r="69" spans="1:3" x14ac:dyDescent="0.3">
      <c r="A69" s="31">
        <v>1371.34</v>
      </c>
      <c r="B69" s="31">
        <v>455.97</v>
      </c>
      <c r="C69" s="31">
        <v>5</v>
      </c>
    </row>
    <row r="70" spans="1:3" x14ac:dyDescent="0.3">
      <c r="A70" s="31">
        <v>1020.26</v>
      </c>
      <c r="B70" s="31">
        <v>242.31</v>
      </c>
      <c r="C70" s="31">
        <v>11</v>
      </c>
    </row>
    <row r="71" spans="1:3" x14ac:dyDescent="0.3">
      <c r="A71" s="31">
        <v>804.81</v>
      </c>
      <c r="B71" s="31">
        <v>344.06</v>
      </c>
      <c r="C71" s="31">
        <v>1</v>
      </c>
    </row>
    <row r="72" spans="1:3" x14ac:dyDescent="0.3">
      <c r="A72" s="31">
        <v>608.66</v>
      </c>
      <c r="B72" s="31">
        <v>144.56</v>
      </c>
      <c r="C72" s="31">
        <v>1</v>
      </c>
    </row>
    <row r="73" spans="1:3" x14ac:dyDescent="0.3">
      <c r="A73" s="31">
        <v>981.2</v>
      </c>
      <c r="B73" s="31">
        <v>441.54</v>
      </c>
      <c r="C73" s="31">
        <v>19</v>
      </c>
    </row>
    <row r="74" spans="1:3" x14ac:dyDescent="0.3">
      <c r="A74" s="31">
        <v>539.77</v>
      </c>
      <c r="B74" s="31">
        <v>114.7</v>
      </c>
      <c r="C74" s="31">
        <v>10</v>
      </c>
    </row>
    <row r="75" spans="1:3" x14ac:dyDescent="0.3">
      <c r="A75" s="31">
        <v>804.45</v>
      </c>
      <c r="B75" s="31">
        <v>257.42</v>
      </c>
      <c r="C75" s="31">
        <v>5</v>
      </c>
    </row>
    <row r="76" spans="1:3" x14ac:dyDescent="0.3">
      <c r="A76" s="31">
        <v>1526.6</v>
      </c>
      <c r="B76" s="31">
        <v>305.32</v>
      </c>
      <c r="C76" s="31">
        <v>13</v>
      </c>
    </row>
    <row r="77" spans="1:3" x14ac:dyDescent="0.3">
      <c r="A77" s="31">
        <v>1215.26</v>
      </c>
      <c r="B77" s="31">
        <v>258.24</v>
      </c>
      <c r="C77" s="31">
        <v>5</v>
      </c>
    </row>
    <row r="78" spans="1:3" x14ac:dyDescent="0.3">
      <c r="A78" s="31">
        <v>1261.3399999999999</v>
      </c>
      <c r="B78" s="31">
        <v>441.47</v>
      </c>
      <c r="C78" s="31">
        <v>3</v>
      </c>
    </row>
    <row r="79" spans="1:3" x14ac:dyDescent="0.3">
      <c r="A79" s="31">
        <v>518.07000000000005</v>
      </c>
      <c r="B79" s="31">
        <v>172.26</v>
      </c>
      <c r="C79" s="31">
        <v>7</v>
      </c>
    </row>
    <row r="80" spans="1:3" x14ac:dyDescent="0.3">
      <c r="A80" s="31">
        <v>1111.3399999999999</v>
      </c>
      <c r="B80" s="31">
        <v>500.1</v>
      </c>
      <c r="C80" s="31">
        <v>1</v>
      </c>
    </row>
    <row r="81" spans="1:3" x14ac:dyDescent="0.3">
      <c r="A81" s="31">
        <v>1291.47</v>
      </c>
      <c r="B81" s="31">
        <v>581.16</v>
      </c>
      <c r="C81" s="31">
        <v>18</v>
      </c>
    </row>
    <row r="82" spans="1:3" x14ac:dyDescent="0.3">
      <c r="A82" s="31">
        <v>679.71</v>
      </c>
      <c r="B82" s="31">
        <v>271.88</v>
      </c>
      <c r="C82" s="31">
        <v>19</v>
      </c>
    </row>
    <row r="83" spans="1:3" x14ac:dyDescent="0.3">
      <c r="A83" s="31">
        <v>1143.69</v>
      </c>
      <c r="B83" s="31">
        <v>400.29</v>
      </c>
      <c r="C83" s="31">
        <v>17</v>
      </c>
    </row>
    <row r="84" spans="1:3" x14ac:dyDescent="0.3">
      <c r="A84" s="31">
        <v>790.08</v>
      </c>
      <c r="B84" s="31">
        <v>177.77</v>
      </c>
      <c r="C84" s="31">
        <v>7</v>
      </c>
    </row>
    <row r="85" spans="1:3" x14ac:dyDescent="0.3">
      <c r="A85" s="31">
        <v>1070.68</v>
      </c>
      <c r="B85" s="31">
        <v>406.86</v>
      </c>
      <c r="C85" s="31">
        <v>7</v>
      </c>
    </row>
    <row r="86" spans="1:3" x14ac:dyDescent="0.3">
      <c r="A86" s="31">
        <v>1168.8900000000001</v>
      </c>
      <c r="B86" s="31">
        <v>526</v>
      </c>
      <c r="C86" s="31">
        <v>4</v>
      </c>
    </row>
    <row r="87" spans="1:3" x14ac:dyDescent="0.3">
      <c r="A87" s="31">
        <v>1335.87</v>
      </c>
      <c r="B87" s="31">
        <v>333.97</v>
      </c>
      <c r="C87" s="31">
        <v>17</v>
      </c>
    </row>
    <row r="88" spans="1:3" x14ac:dyDescent="0.3">
      <c r="A88" s="31">
        <v>873.7</v>
      </c>
      <c r="B88" s="31">
        <v>305.8</v>
      </c>
      <c r="C88" s="31">
        <v>9</v>
      </c>
    </row>
    <row r="89" spans="1:3" x14ac:dyDescent="0.3">
      <c r="A89" s="31">
        <v>1443.98</v>
      </c>
      <c r="B89" s="31">
        <v>649.79</v>
      </c>
      <c r="C89" s="31">
        <v>19</v>
      </c>
    </row>
    <row r="90" spans="1:3" x14ac:dyDescent="0.3">
      <c r="A90" s="31">
        <v>1154.33</v>
      </c>
      <c r="B90" s="31">
        <v>441.53</v>
      </c>
      <c r="C90" s="31">
        <v>11</v>
      </c>
    </row>
    <row r="91" spans="1:3" x14ac:dyDescent="0.3">
      <c r="A91" s="31">
        <v>1264.49</v>
      </c>
      <c r="B91" s="31">
        <v>480.51</v>
      </c>
      <c r="C91" s="31">
        <v>16</v>
      </c>
    </row>
    <row r="92" spans="1:3" x14ac:dyDescent="0.3">
      <c r="A92" s="31">
        <v>1101.55</v>
      </c>
      <c r="B92" s="31">
        <v>346.99</v>
      </c>
      <c r="C92" s="31">
        <v>4</v>
      </c>
    </row>
    <row r="93" spans="1:3" x14ac:dyDescent="0.3">
      <c r="A93" s="31">
        <v>727.73</v>
      </c>
      <c r="B93" s="31">
        <v>229.23</v>
      </c>
      <c r="C93" s="31">
        <v>1</v>
      </c>
    </row>
    <row r="94" spans="1:3" x14ac:dyDescent="0.3">
      <c r="A94" s="31">
        <v>875.41</v>
      </c>
      <c r="B94" s="31">
        <v>334.84</v>
      </c>
      <c r="C94" s="31">
        <v>13</v>
      </c>
    </row>
    <row r="95" spans="1:3" x14ac:dyDescent="0.3">
      <c r="A95" s="31">
        <v>1158.94</v>
      </c>
      <c r="B95" s="31">
        <v>231.79</v>
      </c>
      <c r="C95" s="31">
        <v>19</v>
      </c>
    </row>
    <row r="96" spans="1:3" x14ac:dyDescent="0.3">
      <c r="A96" s="31">
        <v>966.3</v>
      </c>
      <c r="B96" s="31">
        <v>328.54</v>
      </c>
      <c r="C96" s="31">
        <v>2</v>
      </c>
    </row>
    <row r="97" spans="1:3" x14ac:dyDescent="0.3">
      <c r="A97" s="31">
        <v>917.48</v>
      </c>
      <c r="B97" s="31">
        <v>366.99</v>
      </c>
      <c r="C97" s="31">
        <v>6</v>
      </c>
    </row>
    <row r="98" spans="1:3" x14ac:dyDescent="0.3">
      <c r="A98" s="31">
        <v>1172.97</v>
      </c>
      <c r="B98" s="31">
        <v>348.96</v>
      </c>
      <c r="C98" s="31">
        <v>7</v>
      </c>
    </row>
    <row r="99" spans="1:3" x14ac:dyDescent="0.3">
      <c r="A99" s="31">
        <v>1205.82</v>
      </c>
      <c r="B99" s="31">
        <v>542.62</v>
      </c>
      <c r="C99" s="31">
        <v>11</v>
      </c>
    </row>
    <row r="100" spans="1:3" x14ac:dyDescent="0.3">
      <c r="A100" s="31">
        <v>826.93</v>
      </c>
      <c r="B100" s="31">
        <v>297.69</v>
      </c>
      <c r="C100" s="31">
        <v>10</v>
      </c>
    </row>
    <row r="101" spans="1:3" x14ac:dyDescent="0.3">
      <c r="A101" s="31">
        <v>902.19</v>
      </c>
      <c r="B101" s="31">
        <v>451.1</v>
      </c>
      <c r="C101" s="31">
        <v>12</v>
      </c>
    </row>
    <row r="102" spans="1:3" x14ac:dyDescent="0.3">
      <c r="A102" s="31">
        <v>585.97</v>
      </c>
      <c r="B102" s="31">
        <v>210.95</v>
      </c>
      <c r="C102" s="31">
        <v>17</v>
      </c>
    </row>
    <row r="103" spans="1:3" x14ac:dyDescent="0.3">
      <c r="A103" s="31">
        <v>990.19</v>
      </c>
      <c r="B103" s="31">
        <v>445.59</v>
      </c>
      <c r="C103" s="31">
        <v>8</v>
      </c>
    </row>
    <row r="104" spans="1:3" x14ac:dyDescent="0.3">
      <c r="A104" s="31">
        <v>1014.09</v>
      </c>
      <c r="B104" s="31">
        <v>202.82</v>
      </c>
      <c r="C104" s="31">
        <v>13</v>
      </c>
    </row>
    <row r="105" spans="1:3" x14ac:dyDescent="0.3">
      <c r="A105" s="31">
        <v>925.29</v>
      </c>
      <c r="B105" s="31">
        <v>231.32</v>
      </c>
      <c r="C105" s="31">
        <v>17</v>
      </c>
    </row>
    <row r="106" spans="1:3" x14ac:dyDescent="0.3">
      <c r="A106" s="31">
        <v>1286.54</v>
      </c>
      <c r="B106" s="31">
        <v>450.29</v>
      </c>
      <c r="C106" s="31">
        <v>8</v>
      </c>
    </row>
    <row r="107" spans="1:3" x14ac:dyDescent="0.3">
      <c r="A107" s="31">
        <v>961.62</v>
      </c>
      <c r="B107" s="31">
        <v>307.72000000000003</v>
      </c>
      <c r="C107" s="31">
        <v>8</v>
      </c>
    </row>
    <row r="108" spans="1:3" x14ac:dyDescent="0.3">
      <c r="A108" s="31">
        <v>1081.1400000000001</v>
      </c>
      <c r="B108" s="31">
        <v>367.59</v>
      </c>
      <c r="C108" s="31">
        <v>19</v>
      </c>
    </row>
    <row r="109" spans="1:3" x14ac:dyDescent="0.3">
      <c r="A109" s="31">
        <v>1923.66</v>
      </c>
      <c r="B109" s="31">
        <v>769.46</v>
      </c>
      <c r="C109" s="31">
        <v>9</v>
      </c>
    </row>
    <row r="110" spans="1:3" x14ac:dyDescent="0.3">
      <c r="A110" s="31">
        <v>728.71</v>
      </c>
      <c r="B110" s="31">
        <v>327.92</v>
      </c>
      <c r="C110" s="31">
        <v>14</v>
      </c>
    </row>
    <row r="111" spans="1:3" x14ac:dyDescent="0.3">
      <c r="A111" s="31">
        <v>1301.8900000000001</v>
      </c>
      <c r="B111" s="31">
        <v>553.29999999999995</v>
      </c>
      <c r="C111" s="31">
        <v>7</v>
      </c>
    </row>
    <row r="112" spans="1:3" x14ac:dyDescent="0.3">
      <c r="A112" s="31">
        <v>980.18</v>
      </c>
      <c r="B112" s="31">
        <v>352.86</v>
      </c>
      <c r="C112" s="31">
        <v>16</v>
      </c>
    </row>
    <row r="113" spans="1:3" x14ac:dyDescent="0.3">
      <c r="A113" s="31">
        <v>697.57</v>
      </c>
      <c r="B113" s="31">
        <v>313.91000000000003</v>
      </c>
      <c r="C113" s="31">
        <v>17</v>
      </c>
    </row>
    <row r="114" spans="1:3" x14ac:dyDescent="0.3">
      <c r="A114" s="31">
        <v>1193.6099999999999</v>
      </c>
      <c r="B114" s="31">
        <v>355.1</v>
      </c>
      <c r="C114" s="31">
        <v>1</v>
      </c>
    </row>
    <row r="115" spans="1:3" x14ac:dyDescent="0.3">
      <c r="A115" s="31">
        <v>771.02</v>
      </c>
      <c r="B115" s="31">
        <v>192.76</v>
      </c>
      <c r="C115" s="31">
        <v>1</v>
      </c>
    </row>
    <row r="116" spans="1:3" x14ac:dyDescent="0.3">
      <c r="A116" s="31">
        <v>661.09</v>
      </c>
      <c r="B116" s="31">
        <v>264.44</v>
      </c>
      <c r="C116" s="31">
        <v>1</v>
      </c>
    </row>
    <row r="117" spans="1:3" x14ac:dyDescent="0.3">
      <c r="A117" s="31">
        <v>688.83</v>
      </c>
      <c r="B117" s="31">
        <v>172.21</v>
      </c>
      <c r="C117" s="31">
        <v>15</v>
      </c>
    </row>
    <row r="118" spans="1:3" x14ac:dyDescent="0.3">
      <c r="A118" s="31">
        <v>1249.0999999999999</v>
      </c>
      <c r="B118" s="31">
        <v>474.66</v>
      </c>
      <c r="C118" s="31">
        <v>4</v>
      </c>
    </row>
    <row r="119" spans="1:3" x14ac:dyDescent="0.3">
      <c r="A119" s="31">
        <v>1014.22</v>
      </c>
      <c r="B119" s="31">
        <v>433.58</v>
      </c>
      <c r="C119" s="31">
        <v>14</v>
      </c>
    </row>
    <row r="120" spans="1:3" x14ac:dyDescent="0.3">
      <c r="A120" s="31">
        <v>1010.58</v>
      </c>
      <c r="B120" s="31">
        <v>343.6</v>
      </c>
      <c r="C120" s="31">
        <v>2</v>
      </c>
    </row>
    <row r="121" spans="1:3" x14ac:dyDescent="0.3">
      <c r="A121" s="31">
        <v>957.29</v>
      </c>
      <c r="B121" s="31">
        <v>318.3</v>
      </c>
      <c r="C121" s="31">
        <v>4</v>
      </c>
    </row>
    <row r="122" spans="1:3" x14ac:dyDescent="0.3">
      <c r="A122" s="31">
        <v>1077.92</v>
      </c>
      <c r="B122" s="31">
        <v>358.41</v>
      </c>
      <c r="C122" s="31">
        <v>3</v>
      </c>
    </row>
    <row r="123" spans="1:3" x14ac:dyDescent="0.3">
      <c r="A123" s="31">
        <v>1163.01</v>
      </c>
      <c r="B123" s="31">
        <v>581.5</v>
      </c>
      <c r="C123" s="31">
        <v>5</v>
      </c>
    </row>
    <row r="124" spans="1:3" x14ac:dyDescent="0.3">
      <c r="A124" s="31">
        <v>1014.56</v>
      </c>
      <c r="B124" s="31">
        <v>410.9</v>
      </c>
      <c r="C124" s="31">
        <v>10</v>
      </c>
    </row>
    <row r="125" spans="1:3" x14ac:dyDescent="0.3">
      <c r="A125" s="31">
        <v>718.04</v>
      </c>
      <c r="B125" s="31">
        <v>179.51</v>
      </c>
      <c r="C125" s="31">
        <v>14</v>
      </c>
    </row>
    <row r="126" spans="1:3" x14ac:dyDescent="0.3">
      <c r="A126" s="31">
        <v>1277.8499999999999</v>
      </c>
      <c r="B126" s="31">
        <v>511.14</v>
      </c>
      <c r="C126" s="31">
        <v>18</v>
      </c>
    </row>
    <row r="127" spans="1:3" x14ac:dyDescent="0.3">
      <c r="A127" s="31">
        <v>706.73</v>
      </c>
      <c r="B127" s="31">
        <v>150.18</v>
      </c>
      <c r="C127" s="31">
        <v>1</v>
      </c>
    </row>
    <row r="128" spans="1:3" x14ac:dyDescent="0.3">
      <c r="A128" s="31">
        <v>1410.59</v>
      </c>
      <c r="B128" s="31">
        <v>352.65</v>
      </c>
      <c r="C128" s="31">
        <v>15</v>
      </c>
    </row>
    <row r="129" spans="1:3" x14ac:dyDescent="0.3">
      <c r="A129" s="31">
        <v>1350.33</v>
      </c>
      <c r="B129" s="31">
        <v>472.62</v>
      </c>
      <c r="C129" s="31">
        <v>10</v>
      </c>
    </row>
    <row r="130" spans="1:3" x14ac:dyDescent="0.3">
      <c r="A130" s="31">
        <v>919.18</v>
      </c>
      <c r="B130" s="31">
        <v>195.33</v>
      </c>
      <c r="C130" s="31">
        <v>4</v>
      </c>
    </row>
    <row r="131" spans="1:3" x14ac:dyDescent="0.3">
      <c r="A131" s="31">
        <v>258.51</v>
      </c>
      <c r="B131" s="31">
        <v>64.63</v>
      </c>
      <c r="C131" s="31">
        <v>19</v>
      </c>
    </row>
    <row r="132" spans="1:3" x14ac:dyDescent="0.3">
      <c r="A132" s="31">
        <v>1213.48</v>
      </c>
      <c r="B132" s="31">
        <v>461.12</v>
      </c>
      <c r="C132" s="31">
        <v>5</v>
      </c>
    </row>
    <row r="133" spans="1:3" x14ac:dyDescent="0.3">
      <c r="A133" s="31">
        <v>1150.28</v>
      </c>
      <c r="B133" s="31">
        <v>437.11</v>
      </c>
      <c r="C133" s="31">
        <v>8</v>
      </c>
    </row>
    <row r="134" spans="1:3" x14ac:dyDescent="0.3">
      <c r="A134" s="31">
        <v>853.86</v>
      </c>
      <c r="B134" s="31">
        <v>268.97000000000003</v>
      </c>
      <c r="C134" s="31">
        <v>8</v>
      </c>
    </row>
    <row r="135" spans="1:3" x14ac:dyDescent="0.3">
      <c r="A135" s="31">
        <v>1061.04</v>
      </c>
      <c r="B135" s="31">
        <v>265.26</v>
      </c>
      <c r="C135" s="31">
        <v>1</v>
      </c>
    </row>
    <row r="136" spans="1:3" x14ac:dyDescent="0.3">
      <c r="A136" s="31">
        <v>894.55</v>
      </c>
      <c r="B136" s="31">
        <v>178.91</v>
      </c>
      <c r="C136" s="31">
        <v>19</v>
      </c>
    </row>
    <row r="137" spans="1:3" x14ac:dyDescent="0.3">
      <c r="A137" s="31">
        <v>833.91</v>
      </c>
      <c r="B137" s="31">
        <v>356.5</v>
      </c>
      <c r="C137" s="31">
        <v>3</v>
      </c>
    </row>
    <row r="138" spans="1:3" x14ac:dyDescent="0.3">
      <c r="A138" s="31">
        <v>820.19</v>
      </c>
      <c r="B138" s="31">
        <v>229.65</v>
      </c>
      <c r="C138" s="31">
        <v>4</v>
      </c>
    </row>
    <row r="139" spans="1:3" x14ac:dyDescent="0.3">
      <c r="A139" s="31">
        <v>511.74</v>
      </c>
      <c r="B139" s="31">
        <v>121.54</v>
      </c>
      <c r="C139" s="31">
        <v>8</v>
      </c>
    </row>
    <row r="140" spans="1:3" x14ac:dyDescent="0.3">
      <c r="A140" s="31">
        <v>806.03</v>
      </c>
      <c r="B140" s="31">
        <v>268</v>
      </c>
      <c r="C140" s="31">
        <v>19</v>
      </c>
    </row>
    <row r="141" spans="1:3" x14ac:dyDescent="0.3">
      <c r="A141" s="31">
        <v>1432.47</v>
      </c>
      <c r="B141" s="31">
        <v>426.16</v>
      </c>
      <c r="C141" s="31">
        <v>16</v>
      </c>
    </row>
    <row r="142" spans="1:3" x14ac:dyDescent="0.3">
      <c r="A142" s="31">
        <v>1488.58</v>
      </c>
      <c r="B142" s="31">
        <v>316.32</v>
      </c>
      <c r="C142" s="31">
        <v>10</v>
      </c>
    </row>
    <row r="143" spans="1:3" x14ac:dyDescent="0.3">
      <c r="A143" s="31">
        <v>1231.26</v>
      </c>
      <c r="B143" s="31">
        <v>492.5</v>
      </c>
      <c r="C143" s="31">
        <v>9</v>
      </c>
    </row>
    <row r="144" spans="1:3" x14ac:dyDescent="0.3">
      <c r="A144" s="31">
        <v>1161.67</v>
      </c>
      <c r="B144" s="31">
        <v>232.33</v>
      </c>
      <c r="C144" s="31">
        <v>19</v>
      </c>
    </row>
    <row r="145" spans="1:3" x14ac:dyDescent="0.3">
      <c r="A145" s="31">
        <v>388.23</v>
      </c>
      <c r="B145" s="31">
        <v>165.97</v>
      </c>
      <c r="C145" s="31">
        <v>16</v>
      </c>
    </row>
    <row r="146" spans="1:3" x14ac:dyDescent="0.3">
      <c r="A146" s="31">
        <v>1589.42</v>
      </c>
      <c r="B146" s="31">
        <v>675.5</v>
      </c>
      <c r="C146" s="31">
        <v>6</v>
      </c>
    </row>
    <row r="147" spans="1:3" x14ac:dyDescent="0.3">
      <c r="A147" s="31">
        <v>336.66</v>
      </c>
      <c r="B147" s="31">
        <v>134.66</v>
      </c>
      <c r="C147" s="31">
        <v>13</v>
      </c>
    </row>
    <row r="148" spans="1:3" x14ac:dyDescent="0.3">
      <c r="A148" s="31">
        <v>1353.79</v>
      </c>
      <c r="B148" s="31">
        <v>487.36</v>
      </c>
      <c r="C148" s="31">
        <v>14</v>
      </c>
    </row>
    <row r="149" spans="1:3" x14ac:dyDescent="0.3">
      <c r="A149" s="31">
        <v>662.61</v>
      </c>
      <c r="B149" s="31">
        <v>314.74</v>
      </c>
      <c r="C149" s="31">
        <v>11</v>
      </c>
    </row>
    <row r="150" spans="1:3" x14ac:dyDescent="0.3">
      <c r="A150" s="31">
        <v>309.42</v>
      </c>
      <c r="B150" s="31">
        <v>111.39</v>
      </c>
      <c r="C150" s="31">
        <v>1</v>
      </c>
    </row>
    <row r="151" spans="1:3" x14ac:dyDescent="0.3">
      <c r="A151" s="31">
        <v>884.63</v>
      </c>
      <c r="B151" s="31">
        <v>318.47000000000003</v>
      </c>
      <c r="C151" s="31">
        <v>18</v>
      </c>
    </row>
    <row r="152" spans="1:3" x14ac:dyDescent="0.3">
      <c r="A152" s="31">
        <v>745.05</v>
      </c>
      <c r="B152" s="31">
        <v>301.75</v>
      </c>
      <c r="C152" s="31">
        <v>10</v>
      </c>
    </row>
    <row r="153" spans="1:3" x14ac:dyDescent="0.3">
      <c r="A153" s="31">
        <v>870.23</v>
      </c>
      <c r="B153" s="31">
        <v>413.36</v>
      </c>
      <c r="C153" s="31">
        <v>5</v>
      </c>
    </row>
    <row r="154" spans="1:3" x14ac:dyDescent="0.3">
      <c r="A154" s="31">
        <v>862.19</v>
      </c>
      <c r="B154" s="31">
        <v>286.68</v>
      </c>
      <c r="C154" s="31">
        <v>18</v>
      </c>
    </row>
    <row r="155" spans="1:3" x14ac:dyDescent="0.3">
      <c r="A155" s="31">
        <v>1171.18</v>
      </c>
      <c r="B155" s="31">
        <v>556.30999999999995</v>
      </c>
      <c r="C155" s="31">
        <v>19</v>
      </c>
    </row>
    <row r="156" spans="1:3" x14ac:dyDescent="0.3">
      <c r="A156" s="31">
        <v>1054.56</v>
      </c>
      <c r="B156" s="31">
        <v>332.19</v>
      </c>
      <c r="C156" s="31">
        <v>11</v>
      </c>
    </row>
    <row r="157" spans="1:3" x14ac:dyDescent="0.3">
      <c r="A157" s="31">
        <v>1681.21</v>
      </c>
      <c r="B157" s="31">
        <v>336.24</v>
      </c>
      <c r="C157" s="31">
        <v>5</v>
      </c>
    </row>
    <row r="158" spans="1:3" x14ac:dyDescent="0.3">
      <c r="A158" s="31">
        <v>379.77</v>
      </c>
      <c r="B158" s="31">
        <v>180.39</v>
      </c>
      <c r="C158" s="31">
        <v>9</v>
      </c>
    </row>
    <row r="159" spans="1:3" x14ac:dyDescent="0.3">
      <c r="A159" s="31">
        <v>1076.33</v>
      </c>
      <c r="B159" s="31">
        <v>484.35</v>
      </c>
      <c r="C159" s="31">
        <v>2</v>
      </c>
    </row>
    <row r="160" spans="1:3" x14ac:dyDescent="0.3">
      <c r="A160" s="31">
        <v>1250.71</v>
      </c>
      <c r="B160" s="31">
        <v>562.82000000000005</v>
      </c>
      <c r="C160" s="31">
        <v>7</v>
      </c>
    </row>
    <row r="161" spans="1:3" x14ac:dyDescent="0.3">
      <c r="A161" s="31">
        <v>1118.3399999999999</v>
      </c>
      <c r="B161" s="31">
        <v>447.34</v>
      </c>
      <c r="C161" s="31">
        <v>6</v>
      </c>
    </row>
    <row r="162" spans="1:3" x14ac:dyDescent="0.3">
      <c r="A162" s="31">
        <v>1622.62</v>
      </c>
      <c r="B162" s="31">
        <v>649.04999999999995</v>
      </c>
      <c r="C162" s="31">
        <v>12</v>
      </c>
    </row>
    <row r="163" spans="1:3" x14ac:dyDescent="0.3">
      <c r="A163" s="31">
        <v>640.64</v>
      </c>
      <c r="B163" s="31">
        <v>205</v>
      </c>
      <c r="C163" s="31">
        <v>11</v>
      </c>
    </row>
    <row r="164" spans="1:3" x14ac:dyDescent="0.3">
      <c r="A164" s="31">
        <v>585.16</v>
      </c>
      <c r="B164" s="31">
        <v>263.32</v>
      </c>
      <c r="C164" s="31">
        <v>17</v>
      </c>
    </row>
    <row r="165" spans="1:3" x14ac:dyDescent="0.3">
      <c r="A165" s="31">
        <v>1109.98</v>
      </c>
      <c r="B165" s="31">
        <v>443.99</v>
      </c>
      <c r="C165" s="31">
        <v>5</v>
      </c>
    </row>
    <row r="166" spans="1:3" x14ac:dyDescent="0.3">
      <c r="A166" s="31">
        <v>1098.08</v>
      </c>
      <c r="B166" s="31">
        <v>395.31</v>
      </c>
      <c r="C166" s="31">
        <v>9</v>
      </c>
    </row>
    <row r="167" spans="1:3" x14ac:dyDescent="0.3">
      <c r="A167" s="31">
        <v>827.25</v>
      </c>
      <c r="B167" s="31">
        <v>335.04</v>
      </c>
      <c r="C167" s="31">
        <v>7</v>
      </c>
    </row>
    <row r="168" spans="1:3" x14ac:dyDescent="0.3">
      <c r="A168" s="31">
        <v>741.88</v>
      </c>
      <c r="B168" s="31">
        <v>333.85</v>
      </c>
      <c r="C168" s="31">
        <v>16</v>
      </c>
    </row>
    <row r="169" spans="1:3" x14ac:dyDescent="0.3">
      <c r="A169" s="31">
        <v>1311.26</v>
      </c>
      <c r="B169" s="31">
        <v>531.05999999999995</v>
      </c>
      <c r="C169" s="31">
        <v>6</v>
      </c>
    </row>
    <row r="170" spans="1:3" x14ac:dyDescent="0.3">
      <c r="A170" s="31">
        <v>573.32000000000005</v>
      </c>
      <c r="B170" s="31">
        <v>232.19</v>
      </c>
      <c r="C170" s="31">
        <v>19</v>
      </c>
    </row>
    <row r="171" spans="1:3" x14ac:dyDescent="0.3">
      <c r="A171" s="31">
        <v>1115.22</v>
      </c>
      <c r="B171" s="31">
        <v>223.04</v>
      </c>
      <c r="C171" s="31">
        <v>14</v>
      </c>
    </row>
    <row r="172" spans="1:3" x14ac:dyDescent="0.3">
      <c r="A172" s="31">
        <v>845.84</v>
      </c>
      <c r="B172" s="31">
        <v>422.92</v>
      </c>
      <c r="C172" s="31">
        <v>4</v>
      </c>
    </row>
    <row r="173" spans="1:3" x14ac:dyDescent="0.3">
      <c r="A173" s="31">
        <v>1029.8</v>
      </c>
      <c r="B173" s="31">
        <v>257.45</v>
      </c>
      <c r="C173" s="31">
        <v>3</v>
      </c>
    </row>
    <row r="174" spans="1:3" x14ac:dyDescent="0.3">
      <c r="A174" s="31">
        <v>1189.83</v>
      </c>
      <c r="B174" s="31">
        <v>380.75</v>
      </c>
      <c r="C174" s="31">
        <v>2</v>
      </c>
    </row>
    <row r="175" spans="1:3" x14ac:dyDescent="0.3">
      <c r="A175" s="31">
        <v>704.28</v>
      </c>
      <c r="B175" s="31">
        <v>225.37</v>
      </c>
      <c r="C175" s="31">
        <v>15</v>
      </c>
    </row>
    <row r="176" spans="1:3" x14ac:dyDescent="0.3">
      <c r="A176" s="31">
        <v>1618.22</v>
      </c>
      <c r="B176" s="31">
        <v>582.55999999999995</v>
      </c>
      <c r="C176" s="31">
        <v>12</v>
      </c>
    </row>
    <row r="177" spans="1:3" x14ac:dyDescent="0.3">
      <c r="A177" s="31">
        <v>1014.43</v>
      </c>
      <c r="B177" s="31">
        <v>344.91</v>
      </c>
      <c r="C177" s="31">
        <v>2</v>
      </c>
    </row>
    <row r="178" spans="1:3" x14ac:dyDescent="0.3">
      <c r="A178" s="31">
        <v>826.97</v>
      </c>
      <c r="B178" s="31">
        <v>330.79</v>
      </c>
      <c r="C178" s="31">
        <v>18</v>
      </c>
    </row>
    <row r="179" spans="1:3" x14ac:dyDescent="0.3">
      <c r="A179" s="31">
        <v>1022.23</v>
      </c>
      <c r="B179" s="31">
        <v>460</v>
      </c>
      <c r="C179" s="31">
        <v>8</v>
      </c>
    </row>
    <row r="180" spans="1:3" x14ac:dyDescent="0.3">
      <c r="A180" s="31">
        <v>1099.69</v>
      </c>
      <c r="B180" s="31">
        <v>439.88</v>
      </c>
      <c r="C180" s="31">
        <v>6</v>
      </c>
    </row>
    <row r="181" spans="1:3" x14ac:dyDescent="0.3">
      <c r="A181" s="31">
        <v>710.52</v>
      </c>
      <c r="B181" s="31">
        <v>255.79</v>
      </c>
      <c r="C181" s="31">
        <v>8</v>
      </c>
    </row>
    <row r="182" spans="1:3" x14ac:dyDescent="0.3">
      <c r="A182" s="31">
        <v>499.18</v>
      </c>
      <c r="B182" s="31">
        <v>159.74</v>
      </c>
      <c r="C182" s="31">
        <v>15</v>
      </c>
    </row>
    <row r="183" spans="1:3" x14ac:dyDescent="0.3">
      <c r="A183" s="31">
        <v>1064.19</v>
      </c>
      <c r="B183" s="31">
        <v>404.39</v>
      </c>
      <c r="C183" s="31">
        <v>18</v>
      </c>
    </row>
    <row r="184" spans="1:3" x14ac:dyDescent="0.3">
      <c r="A184" s="31">
        <v>438.76</v>
      </c>
      <c r="B184" s="31">
        <v>187.57</v>
      </c>
      <c r="C184" s="31">
        <v>18</v>
      </c>
    </row>
    <row r="185" spans="1:3" x14ac:dyDescent="0.3">
      <c r="A185" s="31">
        <v>864.98</v>
      </c>
      <c r="B185" s="31">
        <v>410.87</v>
      </c>
      <c r="C185" s="31">
        <v>2</v>
      </c>
    </row>
    <row r="186" spans="1:3" x14ac:dyDescent="0.3">
      <c r="A186" s="31">
        <v>984.93</v>
      </c>
      <c r="B186" s="31">
        <v>275.77999999999997</v>
      </c>
      <c r="C186" s="31">
        <v>14</v>
      </c>
    </row>
    <row r="187" spans="1:3" x14ac:dyDescent="0.3">
      <c r="A187" s="31">
        <v>1493.49</v>
      </c>
      <c r="B187" s="31">
        <v>746.74</v>
      </c>
      <c r="C187" s="31">
        <v>18</v>
      </c>
    </row>
    <row r="188" spans="1:3" x14ac:dyDescent="0.3">
      <c r="A188" s="31">
        <v>689.43</v>
      </c>
      <c r="B188" s="31">
        <v>310.24</v>
      </c>
      <c r="C188" s="31">
        <v>9</v>
      </c>
    </row>
    <row r="189" spans="1:3" x14ac:dyDescent="0.3">
      <c r="A189" s="31">
        <v>682.24</v>
      </c>
      <c r="B189" s="31">
        <v>341.12</v>
      </c>
      <c r="C189" s="31">
        <v>1</v>
      </c>
    </row>
    <row r="190" spans="1:3" x14ac:dyDescent="0.3">
      <c r="A190" s="31">
        <v>458.54</v>
      </c>
      <c r="B190" s="31">
        <v>91.71</v>
      </c>
      <c r="C190" s="31">
        <v>15</v>
      </c>
    </row>
    <row r="191" spans="1:3" x14ac:dyDescent="0.3">
      <c r="A191" s="31">
        <v>1184.25</v>
      </c>
      <c r="B191" s="31">
        <v>331.59</v>
      </c>
      <c r="C191" s="31">
        <v>11</v>
      </c>
    </row>
    <row r="192" spans="1:3" x14ac:dyDescent="0.3">
      <c r="A192" s="31">
        <v>762.14</v>
      </c>
      <c r="B192" s="31">
        <v>381.07</v>
      </c>
      <c r="C192" s="31">
        <v>9</v>
      </c>
    </row>
    <row r="193" spans="1:3" x14ac:dyDescent="0.3">
      <c r="A193" s="31">
        <v>750.71</v>
      </c>
      <c r="B193" s="31">
        <v>255.24</v>
      </c>
      <c r="C193" s="31">
        <v>10</v>
      </c>
    </row>
    <row r="194" spans="1:3" x14ac:dyDescent="0.3">
      <c r="A194" s="31">
        <v>1456.94</v>
      </c>
      <c r="B194" s="31">
        <v>692.05</v>
      </c>
      <c r="C194" s="31">
        <v>14</v>
      </c>
    </row>
    <row r="195" spans="1:3" x14ac:dyDescent="0.3">
      <c r="A195" s="31">
        <v>1093.3800000000001</v>
      </c>
      <c r="B195" s="31">
        <v>344.41</v>
      </c>
      <c r="C195" s="31">
        <v>17</v>
      </c>
    </row>
    <row r="196" spans="1:3" x14ac:dyDescent="0.3">
      <c r="A196" s="31">
        <v>934.27</v>
      </c>
      <c r="B196" s="31">
        <v>397.06</v>
      </c>
      <c r="C196" s="31">
        <v>8</v>
      </c>
    </row>
    <row r="197" spans="1:3" x14ac:dyDescent="0.3">
      <c r="A197" s="31">
        <v>1465.35</v>
      </c>
      <c r="B197" s="31">
        <v>586.14</v>
      </c>
      <c r="C197" s="31">
        <v>8</v>
      </c>
    </row>
    <row r="198" spans="1:3" x14ac:dyDescent="0.3">
      <c r="A198" s="31">
        <v>740.8</v>
      </c>
      <c r="B198" s="31">
        <v>333.36</v>
      </c>
      <c r="C198" s="31">
        <v>3</v>
      </c>
    </row>
    <row r="199" spans="1:3" x14ac:dyDescent="0.3">
      <c r="A199" s="31">
        <v>545.44000000000005</v>
      </c>
      <c r="B199" s="31">
        <v>245.45</v>
      </c>
      <c r="C199" s="31">
        <v>17</v>
      </c>
    </row>
    <row r="200" spans="1:3" x14ac:dyDescent="0.3">
      <c r="A200" s="31">
        <v>997.61</v>
      </c>
      <c r="B200" s="31">
        <v>379.09</v>
      </c>
      <c r="C200" s="31">
        <v>8</v>
      </c>
    </row>
    <row r="201" spans="1:3" x14ac:dyDescent="0.3">
      <c r="A201" s="31">
        <v>928.32</v>
      </c>
      <c r="B201" s="31">
        <v>440.95</v>
      </c>
      <c r="C201" s="31">
        <v>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929E-0D5F-4088-9672-AEE0FE3CBAFA}">
  <dimension ref="A1:D14"/>
  <sheetViews>
    <sheetView workbookViewId="0">
      <selection activeCellId="1" sqref="A14 A1:B13"/>
    </sheetView>
  </sheetViews>
  <sheetFormatPr defaultRowHeight="14.4" x14ac:dyDescent="0.3"/>
  <cols>
    <col min="1" max="1" width="9.21875" bestFit="1" customWidth="1"/>
    <col min="2" max="2" width="12.33203125" bestFit="1" customWidth="1"/>
    <col min="3" max="3" width="9" bestFit="1" customWidth="1"/>
    <col min="4" max="4" width="7.109375" bestFit="1" customWidth="1"/>
  </cols>
  <sheetData>
    <row r="1" spans="1:4" ht="18" x14ac:dyDescent="0.35">
      <c r="A1" s="30" t="s">
        <v>116</v>
      </c>
      <c r="B1" s="30" t="s">
        <v>78</v>
      </c>
      <c r="C1" s="30" t="s">
        <v>144</v>
      </c>
      <c r="D1" s="30" t="s">
        <v>145</v>
      </c>
    </row>
    <row r="2" spans="1:4" x14ac:dyDescent="0.3">
      <c r="A2" s="8">
        <f>DATE(2024,4,1)</f>
        <v>45383</v>
      </c>
      <c r="B2" s="13">
        <f>SUMIFS(Dataset!$E:$E,Dataset!$H:$H,"&gt;="&amp;A2,Dataset!$H:$H,"&lt;"&amp;EDATE(A2,1))</f>
        <v>19029.96</v>
      </c>
    </row>
    <row r="3" spans="1:4" x14ac:dyDescent="0.3">
      <c r="A3" s="8">
        <f>EDATE(A2,1)</f>
        <v>45413</v>
      </c>
      <c r="B3" s="13">
        <f>SUMIFS(Dataset!$E:$E,Dataset!$H:$H,"&gt;="&amp;A3,Dataset!$H:$H,"&lt;"&amp;EDATE(A3,1))</f>
        <v>18507.339999999997</v>
      </c>
      <c r="C3" s="38">
        <f>IFERROR((B3-B2)/B2,0)</f>
        <v>-2.7463010957458799E-2</v>
      </c>
      <c r="D3" t="str">
        <f>IF(C3&gt;0,"↑",IF(C3&lt;0,"↓","→"))</f>
        <v>↓</v>
      </c>
    </row>
    <row r="4" spans="1:4" x14ac:dyDescent="0.3">
      <c r="A4" s="8">
        <f t="shared" ref="A4:A14" si="0">EDATE(A3,1)</f>
        <v>45444</v>
      </c>
      <c r="B4" s="13">
        <f>SUMIFS(Dataset!$E:$E,Dataset!$H:$H,"&gt;="&amp;A4,Dataset!$H:$H,"&lt;"&amp;EDATE(A4,1))</f>
        <v>20187.509999999998</v>
      </c>
      <c r="C4" s="38">
        <f t="shared" ref="C4:C14" si="1">IFERROR((B4-B3)/B3,0)</f>
        <v>9.0783980842195702E-2</v>
      </c>
      <c r="D4" t="str">
        <f t="shared" ref="D4:D14" si="2">IF(C4&gt;0,"↑",IF(C4&lt;0,"↓","→"))</f>
        <v>↑</v>
      </c>
    </row>
    <row r="5" spans="1:4" x14ac:dyDescent="0.3">
      <c r="A5" s="8">
        <f t="shared" si="0"/>
        <v>45474</v>
      </c>
      <c r="B5" s="13">
        <f>SUMIFS(Dataset!$E:$E,Dataset!$H:$H,"&gt;="&amp;A5,Dataset!$H:$H,"&lt;"&amp;EDATE(A5,1))</f>
        <v>11609.039999999999</v>
      </c>
      <c r="C5" s="38">
        <f t="shared" si="1"/>
        <v>-0.42493947990614001</v>
      </c>
      <c r="D5" t="str">
        <f t="shared" si="2"/>
        <v>↓</v>
      </c>
    </row>
    <row r="6" spans="1:4" x14ac:dyDescent="0.3">
      <c r="A6" s="8">
        <f t="shared" si="0"/>
        <v>45505</v>
      </c>
      <c r="B6" s="13">
        <f>SUMIFS(Dataset!$E:$E,Dataset!$H:$H,"&gt;="&amp;A6,Dataset!$H:$H,"&lt;"&amp;EDATE(A6,1))</f>
        <v>10091.699999999999</v>
      </c>
      <c r="C6" s="38">
        <f t="shared" si="1"/>
        <v>-0.13070331396911375</v>
      </c>
      <c r="D6" t="str">
        <f t="shared" si="2"/>
        <v>↓</v>
      </c>
    </row>
    <row r="7" spans="1:4" x14ac:dyDescent="0.3">
      <c r="A7" s="8">
        <f t="shared" si="0"/>
        <v>45536</v>
      </c>
      <c r="B7" s="13">
        <f>SUMIFS(Dataset!$E:$E,Dataset!$H:$H,"&gt;="&amp;A7,Dataset!$H:$H,"&lt;"&amp;EDATE(A7,1))</f>
        <v>20533.499999999996</v>
      </c>
      <c r="C7" s="38">
        <f t="shared" si="1"/>
        <v>1.0346918755016496</v>
      </c>
      <c r="D7" t="str">
        <f t="shared" si="2"/>
        <v>↑</v>
      </c>
    </row>
    <row r="8" spans="1:4" x14ac:dyDescent="0.3">
      <c r="A8" s="8">
        <f t="shared" si="0"/>
        <v>45566</v>
      </c>
      <c r="B8" s="13">
        <f>SUMIFS(Dataset!$E:$E,Dataset!$H:$H,"&gt;="&amp;A8,Dataset!$H:$H,"&lt;"&amp;EDATE(A8,1))</f>
        <v>14215.240000000002</v>
      </c>
      <c r="C8" s="38">
        <f t="shared" si="1"/>
        <v>-0.30770496992719193</v>
      </c>
      <c r="D8" t="str">
        <f t="shared" si="2"/>
        <v>↓</v>
      </c>
    </row>
    <row r="9" spans="1:4" x14ac:dyDescent="0.3">
      <c r="A9" s="8">
        <f t="shared" si="0"/>
        <v>45597</v>
      </c>
      <c r="B9" s="13">
        <f>SUMIFS(Dataset!$E:$E,Dataset!$H:$H,"&gt;="&amp;A9,Dataset!$H:$H,"&lt;"&amp;EDATE(A9,1))</f>
        <v>20135.030000000002</v>
      </c>
      <c r="C9" s="38">
        <f t="shared" si="1"/>
        <v>0.4164396802305132</v>
      </c>
      <c r="D9" t="str">
        <f t="shared" si="2"/>
        <v>↑</v>
      </c>
    </row>
    <row r="10" spans="1:4" x14ac:dyDescent="0.3">
      <c r="A10" s="8">
        <f t="shared" si="0"/>
        <v>45627</v>
      </c>
      <c r="B10" s="13">
        <f>SUMIFS(Dataset!$E:$E,Dataset!$H:$H,"&gt;="&amp;A10,Dataset!$H:$H,"&lt;"&amp;EDATE(A10,1))</f>
        <v>11120.04</v>
      </c>
      <c r="C10" s="38">
        <f t="shared" si="1"/>
        <v>-0.44772667336477773</v>
      </c>
      <c r="D10" t="str">
        <f t="shared" si="2"/>
        <v>↓</v>
      </c>
    </row>
    <row r="11" spans="1:4" x14ac:dyDescent="0.3">
      <c r="A11" s="8">
        <f t="shared" si="0"/>
        <v>45658</v>
      </c>
      <c r="B11" s="13">
        <f>SUMIFS(Dataset!$E:$E,Dataset!$H:$H,"&gt;="&amp;A11,Dataset!$H:$H,"&lt;"&amp;EDATE(A11,1))</f>
        <v>14914.650000000001</v>
      </c>
      <c r="C11" s="38">
        <f t="shared" si="1"/>
        <v>0.34124067899036337</v>
      </c>
      <c r="D11" t="str">
        <f t="shared" si="2"/>
        <v>↑</v>
      </c>
    </row>
    <row r="12" spans="1:4" x14ac:dyDescent="0.3">
      <c r="A12" s="8">
        <f t="shared" si="0"/>
        <v>45689</v>
      </c>
      <c r="B12" s="13">
        <f>SUMIFS(Dataset!$E:$E,Dataset!$H:$H,"&gt;="&amp;A12,Dataset!$H:$H,"&lt;"&amp;EDATE(A12,1))</f>
        <v>14006.359999999999</v>
      </c>
      <c r="C12" s="38">
        <f t="shared" si="1"/>
        <v>-6.0899183018039482E-2</v>
      </c>
      <c r="D12" t="str">
        <f t="shared" si="2"/>
        <v>↓</v>
      </c>
    </row>
    <row r="13" spans="1:4" x14ac:dyDescent="0.3">
      <c r="A13" s="8">
        <f t="shared" si="0"/>
        <v>45717</v>
      </c>
      <c r="B13" s="13">
        <f>SUMIFS(Dataset!$E:$E,Dataset!$H:$H,"&gt;="&amp;A13,Dataset!$H:$H,"&lt;"&amp;EDATE(A13,1))</f>
        <v>17655.219999999998</v>
      </c>
      <c r="C13" s="38">
        <f t="shared" si="1"/>
        <v>0.26051450912299834</v>
      </c>
      <c r="D13" t="str">
        <f t="shared" si="2"/>
        <v>↑</v>
      </c>
    </row>
    <row r="14" spans="1:4" x14ac:dyDescent="0.3">
      <c r="A14" s="8">
        <f t="shared" si="0"/>
        <v>45748</v>
      </c>
      <c r="B14" s="13">
        <f>SUMIFS(Dataset!$E:$E,Dataset!$H:$H,"&gt;="&amp;A14,Dataset!$H:$H,"&lt;"&amp;EDATE(A14,1))</f>
        <v>3212.17</v>
      </c>
      <c r="C14" s="38">
        <f t="shared" si="1"/>
        <v>-0.81806117397574196</v>
      </c>
      <c r="D14" t="str">
        <f t="shared" si="2"/>
        <v>↓</v>
      </c>
    </row>
  </sheetData>
  <conditionalFormatting sqref="D3:D14">
    <cfRule type="containsText" dxfId="2" priority="1" operator="containsText" text="↑">
      <formula>NOT(ISERROR(SEARCH("↑",D3)))</formula>
    </cfRule>
    <cfRule type="containsText" dxfId="1" priority="2" operator="containsText" text="↓">
      <formula>NOT(ISERROR(SEARCH("↓",D3)))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8645-2F43-403D-9FAD-2ED7EFB0C02F}">
  <dimension ref="A1:C3"/>
  <sheetViews>
    <sheetView workbookViewId="0">
      <selection activeCell="B14" sqref="B14"/>
    </sheetView>
  </sheetViews>
  <sheetFormatPr defaultRowHeight="14.4" x14ac:dyDescent="0.3"/>
  <cols>
    <col min="1" max="1" width="33" bestFit="1" customWidth="1"/>
    <col min="2" max="2" width="20" bestFit="1" customWidth="1"/>
  </cols>
  <sheetData>
    <row r="1" spans="1:3" ht="23.4" x14ac:dyDescent="0.45">
      <c r="A1" s="12" t="s">
        <v>146</v>
      </c>
      <c r="B1" s="7"/>
      <c r="C1" s="7"/>
    </row>
    <row r="2" spans="1:3" x14ac:dyDescent="0.3">
      <c r="A2" s="40"/>
      <c r="B2" s="41"/>
      <c r="C2" s="39"/>
    </row>
    <row r="3" spans="1:3" ht="18" x14ac:dyDescent="0.35">
      <c r="A3" s="42" t="s">
        <v>147</v>
      </c>
      <c r="B3" s="43">
        <f ca="1">NOW()</f>
        <v>46325.437020833335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4C92-F8C1-491F-BAC7-7C58E82D7695}">
  <sheetPr filterMode="1"/>
  <dimension ref="A1:G31"/>
  <sheetViews>
    <sheetView workbookViewId="0"/>
  </sheetViews>
  <sheetFormatPr defaultRowHeight="14.4" x14ac:dyDescent="0.3"/>
  <cols>
    <col min="1" max="1" width="17.109375" bestFit="1" customWidth="1"/>
    <col min="2" max="2" width="14.5546875" bestFit="1" customWidth="1"/>
    <col min="3" max="3" width="19.44140625" bestFit="1" customWidth="1"/>
    <col min="4" max="4" width="23.77734375" bestFit="1" customWidth="1"/>
    <col min="6" max="6" width="25.21875" bestFit="1" customWidth="1"/>
    <col min="7" max="7" width="11.109375" bestFit="1" customWidth="1"/>
  </cols>
  <sheetData>
    <row r="1" spans="1:7" ht="18" x14ac:dyDescent="0.35">
      <c r="A1" s="46" t="s">
        <v>2</v>
      </c>
      <c r="B1" s="46" t="s">
        <v>78</v>
      </c>
      <c r="C1" s="46" t="s">
        <v>148</v>
      </c>
      <c r="D1" s="46" t="s">
        <v>149</v>
      </c>
      <c r="E1" s="30"/>
      <c r="F1" s="50" t="s">
        <v>150</v>
      </c>
    </row>
    <row r="2" spans="1:7" hidden="1" x14ac:dyDescent="0.3">
      <c r="A2" s="44" t="str">
        <f>"CUST"&amp;TEXT(ROW(A1),"000")</f>
        <v>CUST001</v>
      </c>
      <c r="B2" s="45">
        <f>SUMIF(Dataset!$A:$A,A2,Dataset!$E:$E)</f>
        <v>6549.55</v>
      </c>
      <c r="C2" s="45">
        <f>_xlfn.RANK.EQ(B2,$B$2:$B$31,0)</f>
        <v>15</v>
      </c>
      <c r="D2" s="45" t="str">
        <f>IF(C2&lt;=10,"High Value","Regular")</f>
        <v>Regular</v>
      </c>
      <c r="F2" s="34" t="s">
        <v>151</v>
      </c>
      <c r="G2">
        <f>MAX(B2:B31)</f>
        <v>11611.060000000001</v>
      </c>
    </row>
    <row r="3" spans="1:7" hidden="1" x14ac:dyDescent="0.3">
      <c r="A3" s="44" t="str">
        <f t="shared" ref="A3" si="0">"CUST"&amp;TEXT(ROW(A2),"000")</f>
        <v>CUST002</v>
      </c>
      <c r="B3" s="45">
        <f>SUMIF(Dataset!$A:$A,A3,Dataset!$E:$E)</f>
        <v>6481.43</v>
      </c>
      <c r="C3" s="45">
        <f t="shared" ref="C3" si="1">_xlfn.RANK.EQ(B3,$B$2:$B$31,0)</f>
        <v>17</v>
      </c>
      <c r="D3" s="45" t="str">
        <f t="shared" ref="D3" si="2">IF(C3&lt;=10,"High Value","Regular")</f>
        <v>Regular</v>
      </c>
      <c r="F3" s="34" t="s">
        <v>152</v>
      </c>
      <c r="G3" t="str">
        <f>INDEX(A2:A31,MATCH(G2,B2:B31,0))</f>
        <v>CUST015</v>
      </c>
    </row>
    <row r="4" spans="1:7" x14ac:dyDescent="0.3">
      <c r="A4" s="47" t="str">
        <f t="shared" ref="A4:A31" si="3">"CUST"&amp;TEXT(ROW(A3),"000")</f>
        <v>CUST003</v>
      </c>
      <c r="B4" s="49">
        <f>SUMIF(Dataset!$A:$A,A4,Dataset!$E:$E)</f>
        <v>8490.18</v>
      </c>
      <c r="C4" s="48">
        <f t="shared" ref="C4:C31" si="4">_xlfn.RANK.EQ(B4,$B$2:$B$31,0)</f>
        <v>7</v>
      </c>
      <c r="D4" s="48" t="str">
        <f t="shared" ref="D4:D31" si="5">IF(C4&lt;=10,"High Value","Regular")</f>
        <v>High Value</v>
      </c>
      <c r="F4" s="34" t="s">
        <v>151</v>
      </c>
      <c r="G4">
        <f>MAX(B2:B31)</f>
        <v>11611.060000000001</v>
      </c>
    </row>
    <row r="5" spans="1:7" x14ac:dyDescent="0.3">
      <c r="A5" s="47" t="str">
        <f t="shared" si="3"/>
        <v>CUST004</v>
      </c>
      <c r="B5" s="49">
        <f>SUMIF(Dataset!$A:$A,A5,Dataset!$E:$E)</f>
        <v>7813.59</v>
      </c>
      <c r="C5" s="48">
        <f t="shared" si="4"/>
        <v>10</v>
      </c>
      <c r="D5" s="48" t="str">
        <f t="shared" si="5"/>
        <v>High Value</v>
      </c>
      <c r="F5" s="34" t="s">
        <v>152</v>
      </c>
      <c r="G5" s="34" t="s">
        <v>152</v>
      </c>
    </row>
    <row r="6" spans="1:7" hidden="1" x14ac:dyDescent="0.3">
      <c r="A6" s="44" t="str">
        <f t="shared" si="3"/>
        <v>CUST005</v>
      </c>
      <c r="B6" s="45">
        <f>SUMIF(Dataset!$A:$A,A6,Dataset!$E:$E)</f>
        <v>6666.130000000001</v>
      </c>
      <c r="C6" s="45">
        <f t="shared" si="4"/>
        <v>14</v>
      </c>
      <c r="D6" s="45" t="str">
        <f t="shared" si="5"/>
        <v>Regular</v>
      </c>
    </row>
    <row r="7" spans="1:7" hidden="1" x14ac:dyDescent="0.3">
      <c r="A7" s="44" t="str">
        <f t="shared" si="3"/>
        <v>CUST006</v>
      </c>
      <c r="B7" s="45">
        <f>SUMIF(Dataset!$A:$A,A7,Dataset!$E:$E)</f>
        <v>2699.75</v>
      </c>
      <c r="C7" s="45">
        <f t="shared" si="4"/>
        <v>30</v>
      </c>
      <c r="D7" s="45" t="str">
        <f t="shared" si="5"/>
        <v>Regular</v>
      </c>
    </row>
    <row r="8" spans="1:7" x14ac:dyDescent="0.3">
      <c r="A8" s="47" t="str">
        <f t="shared" si="3"/>
        <v>CUST007</v>
      </c>
      <c r="B8" s="49">
        <f>SUMIF(Dataset!$A:$A,A8,Dataset!$E:$E)</f>
        <v>9941.8799999999992</v>
      </c>
      <c r="C8" s="48">
        <f t="shared" si="4"/>
        <v>3</v>
      </c>
      <c r="D8" s="48" t="str">
        <f t="shared" si="5"/>
        <v>High Value</v>
      </c>
    </row>
    <row r="9" spans="1:7" x14ac:dyDescent="0.3">
      <c r="A9" s="47" t="str">
        <f t="shared" si="3"/>
        <v>CUST008</v>
      </c>
      <c r="B9" s="49">
        <f>SUMIF(Dataset!$A:$A,A9,Dataset!$E:$E)</f>
        <v>9760.7999999999993</v>
      </c>
      <c r="C9" s="48">
        <f t="shared" si="4"/>
        <v>4</v>
      </c>
      <c r="D9" s="48" t="str">
        <f t="shared" si="5"/>
        <v>High Value</v>
      </c>
    </row>
    <row r="10" spans="1:7" hidden="1" x14ac:dyDescent="0.3">
      <c r="A10" s="44" t="str">
        <f t="shared" si="3"/>
        <v>CUST009</v>
      </c>
      <c r="B10" s="45">
        <f>SUMIF(Dataset!$A:$A,A10,Dataset!$E:$E)</f>
        <v>6505.2</v>
      </c>
      <c r="C10" s="45">
        <f t="shared" si="4"/>
        <v>16</v>
      </c>
      <c r="D10" s="45" t="str">
        <f t="shared" si="5"/>
        <v>Regular</v>
      </c>
    </row>
    <row r="11" spans="1:7" hidden="1" x14ac:dyDescent="0.3">
      <c r="A11" s="44" t="str">
        <f t="shared" si="3"/>
        <v>CUST010</v>
      </c>
      <c r="B11" s="45">
        <f>SUMIF(Dataset!$A:$A,A11,Dataset!$E:$E)</f>
        <v>4259.22</v>
      </c>
      <c r="C11" s="45">
        <f t="shared" si="4"/>
        <v>24</v>
      </c>
      <c r="D11" s="45" t="str">
        <f t="shared" si="5"/>
        <v>Regular</v>
      </c>
    </row>
    <row r="12" spans="1:7" hidden="1" x14ac:dyDescent="0.3">
      <c r="A12" s="44" t="str">
        <f t="shared" si="3"/>
        <v>CUST011</v>
      </c>
      <c r="B12" s="45">
        <f>SUMIF(Dataset!$A:$A,A12,Dataset!$E:$E)</f>
        <v>3762.2900000000004</v>
      </c>
      <c r="C12" s="45">
        <f t="shared" si="4"/>
        <v>27</v>
      </c>
      <c r="D12" s="45" t="str">
        <f t="shared" si="5"/>
        <v>Regular</v>
      </c>
    </row>
    <row r="13" spans="1:7" x14ac:dyDescent="0.3">
      <c r="A13" s="47" t="str">
        <f t="shared" si="3"/>
        <v>CUST012</v>
      </c>
      <c r="B13" s="49">
        <f>SUMIF(Dataset!$A:$A,A13,Dataset!$E:$E)</f>
        <v>8339</v>
      </c>
      <c r="C13" s="48">
        <f t="shared" si="4"/>
        <v>8</v>
      </c>
      <c r="D13" s="48" t="str">
        <f t="shared" si="5"/>
        <v>High Value</v>
      </c>
    </row>
    <row r="14" spans="1:7" hidden="1" x14ac:dyDescent="0.3">
      <c r="A14" s="44" t="str">
        <f t="shared" si="3"/>
        <v>CUST013</v>
      </c>
      <c r="B14" s="45">
        <f>SUMIF(Dataset!$A:$A,A14,Dataset!$E:$E)</f>
        <v>4162.4400000000005</v>
      </c>
      <c r="C14" s="45">
        <f t="shared" si="4"/>
        <v>25</v>
      </c>
      <c r="D14" s="45" t="str">
        <f t="shared" si="5"/>
        <v>Regular</v>
      </c>
    </row>
    <row r="15" spans="1:7" hidden="1" x14ac:dyDescent="0.3">
      <c r="A15" s="44" t="str">
        <f t="shared" si="3"/>
        <v>CUST014</v>
      </c>
      <c r="B15" s="45">
        <f>SUMIF(Dataset!$A:$A,A15,Dataset!$E:$E)</f>
        <v>6729.8899999999994</v>
      </c>
      <c r="C15" s="45">
        <f t="shared" si="4"/>
        <v>12</v>
      </c>
      <c r="D15" s="45" t="str">
        <f t="shared" si="5"/>
        <v>Regular</v>
      </c>
    </row>
    <row r="16" spans="1:7" x14ac:dyDescent="0.3">
      <c r="A16" s="47" t="str">
        <f t="shared" si="3"/>
        <v>CUST015</v>
      </c>
      <c r="B16" s="49">
        <f>SUMIF(Dataset!$A:$A,A16,Dataset!$E:$E)</f>
        <v>11611.060000000001</v>
      </c>
      <c r="C16" s="48">
        <f t="shared" si="4"/>
        <v>1</v>
      </c>
      <c r="D16" s="48" t="str">
        <f t="shared" si="5"/>
        <v>High Value</v>
      </c>
    </row>
    <row r="17" spans="1:4" hidden="1" x14ac:dyDescent="0.3">
      <c r="A17" s="44" t="str">
        <f t="shared" si="3"/>
        <v>CUST016</v>
      </c>
      <c r="B17" s="45">
        <f>SUMIF(Dataset!$A:$A,A17,Dataset!$E:$E)</f>
        <v>3369.17</v>
      </c>
      <c r="C17" s="45">
        <f t="shared" si="4"/>
        <v>29</v>
      </c>
      <c r="D17" s="45" t="str">
        <f t="shared" si="5"/>
        <v>Regular</v>
      </c>
    </row>
    <row r="18" spans="1:4" hidden="1" x14ac:dyDescent="0.3">
      <c r="A18" s="44" t="str">
        <f t="shared" si="3"/>
        <v>CUST017</v>
      </c>
      <c r="B18" s="45">
        <f>SUMIF(Dataset!$A:$A,A18,Dataset!$E:$E)</f>
        <v>3419.2</v>
      </c>
      <c r="C18" s="45">
        <f t="shared" si="4"/>
        <v>28</v>
      </c>
      <c r="D18" s="45" t="str">
        <f t="shared" si="5"/>
        <v>Regular</v>
      </c>
    </row>
    <row r="19" spans="1:4" hidden="1" x14ac:dyDescent="0.3">
      <c r="A19" s="44" t="str">
        <f t="shared" si="3"/>
        <v>CUST018</v>
      </c>
      <c r="B19" s="45">
        <f>SUMIF(Dataset!$A:$A,A19,Dataset!$E:$E)</f>
        <v>4951.8899999999994</v>
      </c>
      <c r="C19" s="45">
        <f t="shared" si="4"/>
        <v>20</v>
      </c>
      <c r="D19" s="45" t="str">
        <f t="shared" si="5"/>
        <v>Regular</v>
      </c>
    </row>
    <row r="20" spans="1:4" hidden="1" x14ac:dyDescent="0.3">
      <c r="A20" s="44" t="str">
        <f t="shared" si="3"/>
        <v>CUST019</v>
      </c>
      <c r="B20" s="45">
        <f>SUMIF(Dataset!$A:$A,A20,Dataset!$E:$E)</f>
        <v>4640.1099999999997</v>
      </c>
      <c r="C20" s="45">
        <f t="shared" si="4"/>
        <v>21</v>
      </c>
      <c r="D20" s="45" t="str">
        <f t="shared" si="5"/>
        <v>Regular</v>
      </c>
    </row>
    <row r="21" spans="1:4" hidden="1" x14ac:dyDescent="0.3">
      <c r="A21" s="44" t="str">
        <f t="shared" si="3"/>
        <v>CUST020</v>
      </c>
      <c r="B21" s="45">
        <f>SUMIF(Dataset!$A:$A,A21,Dataset!$E:$E)</f>
        <v>4413.71</v>
      </c>
      <c r="C21" s="45">
        <f t="shared" si="4"/>
        <v>23</v>
      </c>
      <c r="D21" s="45" t="str">
        <f t="shared" si="5"/>
        <v>Regular</v>
      </c>
    </row>
    <row r="22" spans="1:4" x14ac:dyDescent="0.3">
      <c r="A22" s="47" t="str">
        <f t="shared" si="3"/>
        <v>CUST021</v>
      </c>
      <c r="B22" s="49">
        <f>SUMIF(Dataset!$A:$A,A22,Dataset!$E:$E)</f>
        <v>8740.18</v>
      </c>
      <c r="C22" s="48">
        <f t="shared" si="4"/>
        <v>6</v>
      </c>
      <c r="D22" s="48" t="str">
        <f t="shared" si="5"/>
        <v>High Value</v>
      </c>
    </row>
    <row r="23" spans="1:4" hidden="1" x14ac:dyDescent="0.3">
      <c r="A23" s="44" t="str">
        <f t="shared" si="3"/>
        <v>CUST022</v>
      </c>
      <c r="B23" s="45">
        <f>SUMIF(Dataset!$A:$A,A23,Dataset!$E:$E)</f>
        <v>4418.2800000000007</v>
      </c>
      <c r="C23" s="45">
        <f t="shared" si="4"/>
        <v>22</v>
      </c>
      <c r="D23" s="45" t="str">
        <f t="shared" si="5"/>
        <v>Regular</v>
      </c>
    </row>
    <row r="24" spans="1:4" hidden="1" x14ac:dyDescent="0.3">
      <c r="A24" s="44" t="str">
        <f t="shared" si="3"/>
        <v>CUST023</v>
      </c>
      <c r="B24" s="45">
        <f>SUMIF(Dataset!$A:$A,A24,Dataset!$E:$E)</f>
        <v>5913.68</v>
      </c>
      <c r="C24" s="45">
        <f t="shared" si="4"/>
        <v>18</v>
      </c>
      <c r="D24" s="45" t="str">
        <f t="shared" si="5"/>
        <v>Regular</v>
      </c>
    </row>
    <row r="25" spans="1:4" hidden="1" x14ac:dyDescent="0.3">
      <c r="A25" s="44" t="str">
        <f t="shared" si="3"/>
        <v>CUST024</v>
      </c>
      <c r="B25" s="45">
        <f>SUMIF(Dataset!$A:$A,A25,Dataset!$E:$E)</f>
        <v>7583.1299999999992</v>
      </c>
      <c r="C25" s="45">
        <f t="shared" si="4"/>
        <v>11</v>
      </c>
      <c r="D25" s="45" t="str">
        <f t="shared" si="5"/>
        <v>Regular</v>
      </c>
    </row>
    <row r="26" spans="1:4" hidden="1" x14ac:dyDescent="0.3">
      <c r="A26" s="44" t="str">
        <f t="shared" si="3"/>
        <v>CUST025</v>
      </c>
      <c r="B26" s="45">
        <f>SUMIF(Dataset!$A:$A,A26,Dataset!$E:$E)</f>
        <v>6716.52</v>
      </c>
      <c r="C26" s="45">
        <f t="shared" si="4"/>
        <v>13</v>
      </c>
      <c r="D26" s="45" t="str">
        <f t="shared" si="5"/>
        <v>Regular</v>
      </c>
    </row>
    <row r="27" spans="1:4" x14ac:dyDescent="0.3">
      <c r="A27" s="47" t="str">
        <f t="shared" si="3"/>
        <v>CUST026</v>
      </c>
      <c r="B27" s="49">
        <f>SUMIF(Dataset!$A:$A,A27,Dataset!$E:$E)</f>
        <v>9371.81</v>
      </c>
      <c r="C27" s="48">
        <f t="shared" si="4"/>
        <v>5</v>
      </c>
      <c r="D27" s="48" t="str">
        <f t="shared" si="5"/>
        <v>High Value</v>
      </c>
    </row>
    <row r="28" spans="1:4" hidden="1" x14ac:dyDescent="0.3">
      <c r="A28" s="44" t="str">
        <f t="shared" si="3"/>
        <v>CUST027</v>
      </c>
      <c r="B28" s="45">
        <f>SUMIF(Dataset!$A:$A,A28,Dataset!$E:$E)</f>
        <v>3906.04</v>
      </c>
      <c r="C28" s="45">
        <f t="shared" si="4"/>
        <v>26</v>
      </c>
      <c r="D28" s="45" t="str">
        <f t="shared" si="5"/>
        <v>Regular</v>
      </c>
    </row>
    <row r="29" spans="1:4" x14ac:dyDescent="0.3">
      <c r="A29" s="47" t="str">
        <f t="shared" si="3"/>
        <v>CUST028</v>
      </c>
      <c r="B29" s="49">
        <f>SUMIF(Dataset!$A:$A,A29,Dataset!$E:$E)</f>
        <v>10293.870000000001</v>
      </c>
      <c r="C29" s="48">
        <f t="shared" si="4"/>
        <v>2</v>
      </c>
      <c r="D29" s="48" t="str">
        <f t="shared" si="5"/>
        <v>High Value</v>
      </c>
    </row>
    <row r="30" spans="1:4" hidden="1" x14ac:dyDescent="0.3">
      <c r="A30" s="44" t="str">
        <f t="shared" si="3"/>
        <v>CUST029</v>
      </c>
      <c r="B30" s="45">
        <f>SUMIF(Dataset!$A:$A,A30,Dataset!$E:$E)</f>
        <v>5779.05</v>
      </c>
      <c r="C30" s="45">
        <f t="shared" si="4"/>
        <v>19</v>
      </c>
      <c r="D30" s="45" t="str">
        <f t="shared" si="5"/>
        <v>Regular</v>
      </c>
    </row>
    <row r="31" spans="1:4" x14ac:dyDescent="0.3">
      <c r="A31" s="47" t="str">
        <f t="shared" si="3"/>
        <v>CUST030</v>
      </c>
      <c r="B31" s="49">
        <f>SUMIF(Dataset!$A:$A,A31,Dataset!$E:$E)</f>
        <v>7928.71</v>
      </c>
      <c r="C31" s="48">
        <f t="shared" si="4"/>
        <v>9</v>
      </c>
      <c r="D31" s="48" t="str">
        <f t="shared" si="5"/>
        <v>High Value</v>
      </c>
    </row>
  </sheetData>
  <autoFilter ref="A1:D31" xr:uid="{94344C92-F8C1-491F-BAC7-7C58E82D7695}">
    <filterColumn colId="3">
      <filters>
        <filter val="High Value"/>
      </filters>
    </filterColumn>
    <sortState xmlns:xlrd2="http://schemas.microsoft.com/office/spreadsheetml/2017/richdata2" ref="A4:D31">
      <sortCondition descending="1" ref="B2:B31"/>
    </sortState>
  </autoFilter>
  <conditionalFormatting sqref="F1 A1:D31">
    <cfRule type="expression" dxfId="0" priority="1">
      <formula>$D2="High Value"</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1D88-0A6C-4FB3-ABE9-4936C2C87E86}">
  <dimension ref="A3:G10"/>
  <sheetViews>
    <sheetView topLeftCell="A4" workbookViewId="0">
      <selection activeCell="B5" sqref="B5"/>
    </sheetView>
  </sheetViews>
  <sheetFormatPr defaultRowHeight="14.4" x14ac:dyDescent="0.3"/>
  <cols>
    <col min="1" max="1" width="12.5546875" bestFit="1" customWidth="1"/>
    <col min="2" max="2" width="15.5546875" bestFit="1" customWidth="1"/>
    <col min="3" max="5" width="10.5546875" bestFit="1" customWidth="1"/>
    <col min="6" max="6" width="13.5546875" bestFit="1" customWidth="1"/>
    <col min="7" max="7" width="12.109375" bestFit="1" customWidth="1"/>
  </cols>
  <sheetData>
    <row r="3" spans="1:7" x14ac:dyDescent="0.3">
      <c r="A3" s="10" t="s">
        <v>122</v>
      </c>
      <c r="B3" s="10" t="s">
        <v>153</v>
      </c>
    </row>
    <row r="4" spans="1:7" x14ac:dyDescent="0.3">
      <c r="A4" s="10" t="s">
        <v>120</v>
      </c>
      <c r="B4" t="s">
        <v>14</v>
      </c>
      <c r="C4" t="s">
        <v>17</v>
      </c>
      <c r="D4" t="s">
        <v>23</v>
      </c>
      <c r="E4" t="s">
        <v>29</v>
      </c>
      <c r="F4" t="s">
        <v>41</v>
      </c>
      <c r="G4" t="s">
        <v>121</v>
      </c>
    </row>
    <row r="5" spans="1:7" x14ac:dyDescent="0.3">
      <c r="A5" s="11" t="s">
        <v>36</v>
      </c>
      <c r="B5" s="13">
        <v>11297.150000000001</v>
      </c>
      <c r="C5" s="13">
        <v>12200.26</v>
      </c>
      <c r="D5" s="13">
        <v>6621.24</v>
      </c>
      <c r="E5" s="13">
        <v>4876.96</v>
      </c>
      <c r="F5" s="13">
        <v>8472.7199999999993</v>
      </c>
      <c r="G5" s="13">
        <v>43468.33</v>
      </c>
    </row>
    <row r="6" spans="1:7" x14ac:dyDescent="0.3">
      <c r="A6" s="11" t="s">
        <v>20</v>
      </c>
      <c r="B6" s="13">
        <v>11389.090000000002</v>
      </c>
      <c r="C6" s="13">
        <v>2401.4499999999998</v>
      </c>
      <c r="D6" s="13">
        <v>2869.54</v>
      </c>
      <c r="E6" s="13">
        <v>7592.3399999999992</v>
      </c>
      <c r="F6" s="13">
        <v>8189.2200000000012</v>
      </c>
      <c r="G6" s="13">
        <v>32441.640000000003</v>
      </c>
    </row>
    <row r="7" spans="1:7" x14ac:dyDescent="0.3">
      <c r="A7" s="11" t="s">
        <v>26</v>
      </c>
      <c r="B7" s="13">
        <v>8037.0100000000011</v>
      </c>
      <c r="C7" s="13">
        <v>8422.82</v>
      </c>
      <c r="D7" s="13">
        <v>8191.7099999999991</v>
      </c>
      <c r="E7" s="13">
        <v>6978.08</v>
      </c>
      <c r="F7" s="13">
        <v>3345.8</v>
      </c>
      <c r="G7" s="13">
        <v>34975.420000000006</v>
      </c>
    </row>
    <row r="8" spans="1:7" x14ac:dyDescent="0.3">
      <c r="A8" s="11" t="s">
        <v>22</v>
      </c>
      <c r="B8" s="13">
        <v>9588.0400000000009</v>
      </c>
      <c r="C8" s="13">
        <v>8393.630000000001</v>
      </c>
      <c r="D8" s="13">
        <v>11989.070000000003</v>
      </c>
      <c r="E8" s="13">
        <v>7982.73</v>
      </c>
      <c r="F8" s="13">
        <v>2295.3199999999997</v>
      </c>
      <c r="G8" s="13">
        <v>40248.79</v>
      </c>
    </row>
    <row r="9" spans="1:7" x14ac:dyDescent="0.3">
      <c r="A9" s="11" t="s">
        <v>13</v>
      </c>
      <c r="B9" s="13">
        <v>6691.17</v>
      </c>
      <c r="C9" s="13">
        <v>10509.429999999998</v>
      </c>
      <c r="D9" s="13">
        <v>11372.44</v>
      </c>
      <c r="E9" s="13">
        <v>9182.7800000000007</v>
      </c>
      <c r="F9" s="13">
        <v>6327.76</v>
      </c>
      <c r="G9" s="13">
        <v>44083.58</v>
      </c>
    </row>
    <row r="10" spans="1:7" x14ac:dyDescent="0.3">
      <c r="A10" s="11" t="s">
        <v>121</v>
      </c>
      <c r="B10" s="13">
        <v>47002.460000000006</v>
      </c>
      <c r="C10" s="13">
        <v>41927.589999999997</v>
      </c>
      <c r="D10" s="13">
        <v>41044</v>
      </c>
      <c r="E10" s="13">
        <v>36612.89</v>
      </c>
      <c r="F10" s="13">
        <v>28630.82</v>
      </c>
      <c r="G10" s="13">
        <v>195217.76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995B-F62C-4742-BFEC-DEA68D1BCF8C}">
  <dimension ref="A1:B38"/>
  <sheetViews>
    <sheetView workbookViewId="0">
      <selection activeCell="B33" sqref="B33"/>
    </sheetView>
  </sheetViews>
  <sheetFormatPr defaultRowHeight="14.4" x14ac:dyDescent="0.3"/>
  <cols>
    <col min="1" max="1" width="20.88671875" bestFit="1" customWidth="1"/>
    <col min="2" max="2" width="12.33203125" bestFit="1" customWidth="1"/>
  </cols>
  <sheetData>
    <row r="1" spans="1:2" ht="21" x14ac:dyDescent="0.4">
      <c r="A1" s="87" t="s">
        <v>154</v>
      </c>
    </row>
    <row r="3" spans="1:2" ht="18" x14ac:dyDescent="0.35">
      <c r="A3" s="35" t="s">
        <v>4</v>
      </c>
      <c r="B3" s="35" t="s">
        <v>78</v>
      </c>
    </row>
    <row r="4" spans="1:2" x14ac:dyDescent="0.3">
      <c r="A4" s="53" t="s">
        <v>36</v>
      </c>
      <c r="B4" s="45">
        <f>SUMIF(Dataset!$C:$C,A4,Dataset!$E:$E)</f>
        <v>43468.33</v>
      </c>
    </row>
    <row r="5" spans="1:2" x14ac:dyDescent="0.3">
      <c r="A5" s="53" t="s">
        <v>20</v>
      </c>
      <c r="B5" s="45">
        <f>SUMIF(Dataset!$C:$C,A5,Dataset!$E:$E)</f>
        <v>32441.64</v>
      </c>
    </row>
    <row r="6" spans="1:2" x14ac:dyDescent="0.3">
      <c r="A6" s="53" t="s">
        <v>26</v>
      </c>
      <c r="B6" s="45">
        <f>SUMIF(Dataset!$C:$C,A6,Dataset!$E:$E)</f>
        <v>34975.42</v>
      </c>
    </row>
    <row r="7" spans="1:2" x14ac:dyDescent="0.3">
      <c r="A7" s="53" t="s">
        <v>22</v>
      </c>
      <c r="B7" s="45">
        <f>SUMIF(Dataset!$C:$C,A7,Dataset!$E:$E)</f>
        <v>40248.79</v>
      </c>
    </row>
    <row r="8" spans="1:2" x14ac:dyDescent="0.3">
      <c r="A8" s="53" t="s">
        <v>13</v>
      </c>
      <c r="B8" s="45">
        <f>SUMIF(Dataset!$C:$C,A8,Dataset!$E:$E)</f>
        <v>44083.58</v>
      </c>
    </row>
    <row r="17" spans="1:2" ht="18" x14ac:dyDescent="0.35">
      <c r="A17" s="35" t="s">
        <v>116</v>
      </c>
      <c r="B17" s="35" t="s">
        <v>78</v>
      </c>
    </row>
    <row r="18" spans="1:2" x14ac:dyDescent="0.3">
      <c r="A18" s="88">
        <f>DATE(2024,4,1)</f>
        <v>45383</v>
      </c>
      <c r="B18" s="54">
        <f>SUMIFS(Dataset!$E:$E,Dataset!$H:$H,"&gt;="&amp;A18,Dataset!$H:$H,"&lt;"&amp;EDATE(A18,1))</f>
        <v>19029.96</v>
      </c>
    </row>
    <row r="19" spans="1:2" x14ac:dyDescent="0.3">
      <c r="A19" s="88">
        <f>EDATE(A18,1)</f>
        <v>45413</v>
      </c>
      <c r="B19" s="54">
        <f>SUMIFS(Dataset!$E:$E,Dataset!$H:$H,"&gt;="&amp;A19,Dataset!$H:$H,"&lt;"&amp;EDATE(A19,1))</f>
        <v>18507.339999999997</v>
      </c>
    </row>
    <row r="20" spans="1:2" x14ac:dyDescent="0.3">
      <c r="A20" s="88">
        <f t="shared" ref="A20:A30" si="0">EDATE(A19,1)</f>
        <v>45444</v>
      </c>
      <c r="B20" s="54">
        <f>SUMIFS(Dataset!$E:$E,Dataset!$H:$H,"&gt;="&amp;A20,Dataset!$H:$H,"&lt;"&amp;EDATE(A20,1))</f>
        <v>20187.509999999998</v>
      </c>
    </row>
    <row r="21" spans="1:2" x14ac:dyDescent="0.3">
      <c r="A21" s="88">
        <f t="shared" si="0"/>
        <v>45474</v>
      </c>
      <c r="B21" s="54">
        <f>SUMIFS(Dataset!$E:$E,Dataset!$H:$H,"&gt;="&amp;A21,Dataset!$H:$H,"&lt;"&amp;EDATE(A21,1))</f>
        <v>11609.039999999999</v>
      </c>
    </row>
    <row r="22" spans="1:2" x14ac:dyDescent="0.3">
      <c r="A22" s="88">
        <f t="shared" si="0"/>
        <v>45505</v>
      </c>
      <c r="B22" s="54">
        <f>SUMIFS(Dataset!$E:$E,Dataset!$H:$H,"&gt;="&amp;A22,Dataset!$H:$H,"&lt;"&amp;EDATE(A22,1))</f>
        <v>10091.699999999999</v>
      </c>
    </row>
    <row r="23" spans="1:2" x14ac:dyDescent="0.3">
      <c r="A23" s="88">
        <f t="shared" si="0"/>
        <v>45536</v>
      </c>
      <c r="B23" s="54">
        <f>SUMIFS(Dataset!$E:$E,Dataset!$H:$H,"&gt;="&amp;A23,Dataset!$H:$H,"&lt;"&amp;EDATE(A23,1))</f>
        <v>20533.499999999996</v>
      </c>
    </row>
    <row r="24" spans="1:2" x14ac:dyDescent="0.3">
      <c r="A24" s="88">
        <f t="shared" si="0"/>
        <v>45566</v>
      </c>
      <c r="B24" s="54">
        <f>SUMIFS(Dataset!$E:$E,Dataset!$H:$H,"&gt;="&amp;A24,Dataset!$H:$H,"&lt;"&amp;EDATE(A24,1))</f>
        <v>14215.240000000002</v>
      </c>
    </row>
    <row r="25" spans="1:2" x14ac:dyDescent="0.3">
      <c r="A25" s="88">
        <f t="shared" si="0"/>
        <v>45597</v>
      </c>
      <c r="B25" s="54">
        <f>SUMIFS(Dataset!$E:$E,Dataset!$H:$H,"&gt;="&amp;A25,Dataset!$H:$H,"&lt;"&amp;EDATE(A25,1))</f>
        <v>20135.030000000002</v>
      </c>
    </row>
    <row r="26" spans="1:2" x14ac:dyDescent="0.3">
      <c r="A26" s="88">
        <f t="shared" si="0"/>
        <v>45627</v>
      </c>
      <c r="B26" s="54">
        <f>SUMIFS(Dataset!$E:$E,Dataset!$H:$H,"&gt;="&amp;A26,Dataset!$H:$H,"&lt;"&amp;EDATE(A26,1))</f>
        <v>11120.04</v>
      </c>
    </row>
    <row r="27" spans="1:2" x14ac:dyDescent="0.3">
      <c r="A27" s="88">
        <f t="shared" si="0"/>
        <v>45658</v>
      </c>
      <c r="B27" s="54">
        <f>SUMIFS(Dataset!$E:$E,Dataset!$H:$H,"&gt;="&amp;A27,Dataset!$H:$H,"&lt;"&amp;EDATE(A27,1))</f>
        <v>14914.650000000001</v>
      </c>
    </row>
    <row r="28" spans="1:2" x14ac:dyDescent="0.3">
      <c r="A28" s="88">
        <f>EDATE(A27,1)</f>
        <v>45689</v>
      </c>
      <c r="B28" s="54">
        <f>SUMIFS(Dataset!$E:$E,Dataset!$H:$H,"&gt;="&amp;A28,Dataset!$H:$H,"&lt;"&amp;EDATE(A28,1))</f>
        <v>14006.359999999999</v>
      </c>
    </row>
    <row r="29" spans="1:2" x14ac:dyDescent="0.3">
      <c r="A29" s="88">
        <f t="shared" si="0"/>
        <v>45717</v>
      </c>
      <c r="B29" s="54">
        <f>SUMIFS(Dataset!$E:$E,Dataset!$H:$H,"&gt;="&amp;A29,Dataset!$H:$H,"&lt;"&amp;EDATE(A29,1))</f>
        <v>17655.219999999998</v>
      </c>
    </row>
    <row r="30" spans="1:2" x14ac:dyDescent="0.3">
      <c r="A30" s="88">
        <f t="shared" si="0"/>
        <v>45748</v>
      </c>
      <c r="B30" s="54">
        <f>SUMIFS(Dataset!$E:$E,Dataset!$H:$H,"&gt;="&amp;A30,Dataset!$H:$H,"&lt;"&amp;EDATE(A30,1))</f>
        <v>3212.17</v>
      </c>
    </row>
    <row r="33" spans="1:2" ht="18" x14ac:dyDescent="0.35">
      <c r="A33" s="35" t="s">
        <v>155</v>
      </c>
      <c r="B33" s="35" t="s">
        <v>78</v>
      </c>
    </row>
    <row r="34" spans="1:2" x14ac:dyDescent="0.3">
      <c r="A34" s="53" t="s">
        <v>14</v>
      </c>
      <c r="B34" s="45">
        <f>SUMIF(Dataset!$D:$D,A34,Dataset!$E:$E)</f>
        <v>47002.460000000006</v>
      </c>
    </row>
    <row r="35" spans="1:2" x14ac:dyDescent="0.3">
      <c r="A35" s="53" t="s">
        <v>17</v>
      </c>
      <c r="B35" s="45">
        <f>SUMIF(Dataset!$D:$D,A35,Dataset!$E:$E)</f>
        <v>41927.589999999989</v>
      </c>
    </row>
    <row r="36" spans="1:2" x14ac:dyDescent="0.3">
      <c r="A36" s="53" t="s">
        <v>23</v>
      </c>
      <c r="B36" s="45">
        <f>SUMIF(Dataset!$D:$D,A36,Dataset!$E:$E)</f>
        <v>41044.000000000007</v>
      </c>
    </row>
    <row r="37" spans="1:2" x14ac:dyDescent="0.3">
      <c r="A37" s="53" t="s">
        <v>29</v>
      </c>
      <c r="B37" s="45">
        <f>SUMIF(Dataset!$D:$D,A37,Dataset!$E:$E)</f>
        <v>36612.89</v>
      </c>
    </row>
    <row r="38" spans="1:2" x14ac:dyDescent="0.3">
      <c r="A38" s="53" t="s">
        <v>41</v>
      </c>
      <c r="B38" s="45">
        <f>SUMIF(Dataset!$D:$D,A38,Dataset!$E:$E)</f>
        <v>28630.819999999992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3748-2517-44F8-B3B6-0182C0CF67DC}">
  <dimension ref="A1:P61"/>
  <sheetViews>
    <sheetView showGridLines="0" topLeftCell="A52" workbookViewId="0">
      <selection sqref="A1:N2"/>
    </sheetView>
  </sheetViews>
  <sheetFormatPr defaultRowHeight="14.4" x14ac:dyDescent="0.3"/>
  <cols>
    <col min="1" max="1" width="44.6640625" bestFit="1" customWidth="1"/>
    <col min="4" max="4" width="10.44140625" bestFit="1" customWidth="1"/>
    <col min="7" max="7" width="11.6640625" bestFit="1" customWidth="1"/>
    <col min="10" max="10" width="16.109375" bestFit="1" customWidth="1"/>
  </cols>
  <sheetData>
    <row r="1" spans="1:14" x14ac:dyDescent="0.3">
      <c r="A1" s="52" t="s">
        <v>156</v>
      </c>
      <c r="B1" s="51"/>
      <c r="C1" s="51"/>
      <c r="D1" s="51"/>
      <c r="E1" s="51"/>
      <c r="F1" s="51"/>
      <c r="G1" s="51"/>
      <c r="H1" s="51"/>
      <c r="I1" s="51"/>
      <c r="J1" s="51"/>
      <c r="K1" s="51"/>
      <c r="L1" s="51"/>
      <c r="M1" s="51"/>
      <c r="N1" s="51"/>
    </row>
    <row r="2" spans="1:14" x14ac:dyDescent="0.3">
      <c r="A2" s="51"/>
      <c r="B2" s="51"/>
      <c r="C2" s="51"/>
      <c r="D2" s="51"/>
      <c r="E2" s="51"/>
      <c r="F2" s="51"/>
      <c r="G2" s="51"/>
      <c r="H2" s="51"/>
      <c r="I2" s="51"/>
      <c r="J2" s="51"/>
      <c r="K2" s="51"/>
      <c r="L2" s="51"/>
      <c r="M2" s="51"/>
      <c r="N2" s="51"/>
    </row>
    <row r="3" spans="1:14" x14ac:dyDescent="0.3">
      <c r="E3" s="7"/>
    </row>
    <row r="4" spans="1:14" ht="23.4" x14ac:dyDescent="0.45">
      <c r="A4" s="55" t="s">
        <v>78</v>
      </c>
      <c r="B4" s="56"/>
      <c r="C4" s="56"/>
      <c r="D4" s="57" t="s">
        <v>124</v>
      </c>
      <c r="E4" s="57"/>
      <c r="F4" s="57"/>
      <c r="G4" s="58" t="s">
        <v>157</v>
      </c>
      <c r="H4" s="58"/>
      <c r="I4" s="58"/>
      <c r="J4" s="59" t="s">
        <v>158</v>
      </c>
      <c r="K4" s="59"/>
      <c r="L4" s="60"/>
    </row>
    <row r="5" spans="1:14" x14ac:dyDescent="0.3">
      <c r="A5" s="61">
        <f>SUM(Dataset!E:E)</f>
        <v>195217.75999999992</v>
      </c>
      <c r="B5" s="62"/>
      <c r="C5" s="62"/>
      <c r="D5" s="63">
        <f>SUM(Dataset!I:I)</f>
        <v>68287.010000000009</v>
      </c>
      <c r="E5" s="63"/>
      <c r="F5" s="63"/>
      <c r="G5" s="64">
        <f>IFERROR(D5/A5,0)</f>
        <v>0.34979916786259629</v>
      </c>
      <c r="H5" s="64"/>
      <c r="I5" s="64"/>
      <c r="J5" s="65">
        <f>COUNT(Dataset!E:E)</f>
        <v>200</v>
      </c>
      <c r="K5" s="65"/>
      <c r="L5" s="66"/>
    </row>
    <row r="6" spans="1:14" x14ac:dyDescent="0.3">
      <c r="A6" s="67"/>
      <c r="B6" s="68"/>
      <c r="C6" s="68"/>
      <c r="D6" s="69"/>
      <c r="E6" s="69"/>
      <c r="F6" s="69"/>
      <c r="G6" s="70"/>
      <c r="H6" s="70"/>
      <c r="I6" s="70"/>
      <c r="J6" s="71"/>
      <c r="K6" s="71"/>
      <c r="L6" s="72"/>
    </row>
    <row r="43" spans="1:16" ht="23.4" x14ac:dyDescent="0.45">
      <c r="A43" s="74" t="s">
        <v>159</v>
      </c>
    </row>
    <row r="45" spans="1:16" ht="18" x14ac:dyDescent="0.35">
      <c r="A45" s="73" t="s">
        <v>160</v>
      </c>
      <c r="B45" s="77" t="s">
        <v>165</v>
      </c>
      <c r="C45" s="77"/>
      <c r="D45" s="77"/>
      <c r="E45" s="77"/>
      <c r="F45" s="77"/>
      <c r="G45" s="77"/>
      <c r="H45" s="77"/>
      <c r="I45" s="77"/>
      <c r="J45" s="77"/>
      <c r="K45" s="77"/>
      <c r="L45" s="77"/>
    </row>
    <row r="46" spans="1:16" ht="18" x14ac:dyDescent="0.35">
      <c r="A46" s="73" t="s">
        <v>161</v>
      </c>
      <c r="B46" s="78" t="s">
        <v>166</v>
      </c>
      <c r="C46" s="78"/>
      <c r="D46" s="78"/>
      <c r="E46" s="78"/>
      <c r="F46" s="78"/>
      <c r="G46" s="78"/>
      <c r="H46" s="78"/>
      <c r="I46" s="78"/>
      <c r="J46" s="78"/>
      <c r="K46" s="78"/>
      <c r="L46" s="78"/>
      <c r="M46" s="79"/>
      <c r="N46" s="79"/>
      <c r="O46" s="79"/>
      <c r="P46" s="79"/>
    </row>
    <row r="47" spans="1:16" ht="18" x14ac:dyDescent="0.35">
      <c r="A47" s="73" t="s">
        <v>162</v>
      </c>
      <c r="B47" s="77" t="s">
        <v>174</v>
      </c>
      <c r="C47" s="77"/>
      <c r="D47" s="77"/>
      <c r="E47" s="77"/>
      <c r="F47" s="77"/>
      <c r="G47" s="77"/>
      <c r="H47" s="77"/>
      <c r="I47" s="77"/>
      <c r="J47" s="77"/>
      <c r="K47" s="77"/>
      <c r="L47" s="77"/>
    </row>
    <row r="48" spans="1:16" ht="18" x14ac:dyDescent="0.35">
      <c r="A48" s="73" t="s">
        <v>163</v>
      </c>
      <c r="B48" s="80" t="s">
        <v>167</v>
      </c>
      <c r="C48" s="80"/>
      <c r="D48" s="80"/>
      <c r="E48" s="80"/>
      <c r="F48" s="80"/>
      <c r="G48" s="80"/>
      <c r="H48" s="80"/>
      <c r="I48" s="80"/>
      <c r="J48" s="80"/>
      <c r="K48" s="80"/>
      <c r="L48" s="80"/>
    </row>
    <row r="49" spans="1:12" ht="18" x14ac:dyDescent="0.35">
      <c r="A49" s="73" t="s">
        <v>164</v>
      </c>
      <c r="B49" s="77" t="s">
        <v>175</v>
      </c>
      <c r="C49" s="77"/>
      <c r="D49" s="77"/>
      <c r="E49" s="77"/>
      <c r="F49" s="77"/>
      <c r="G49" s="77"/>
      <c r="H49" s="77"/>
      <c r="I49" s="77"/>
      <c r="J49" s="77"/>
      <c r="K49" s="77"/>
      <c r="L49" s="77"/>
    </row>
    <row r="54" spans="1:12" ht="25.8" x14ac:dyDescent="0.5">
      <c r="A54" s="75"/>
      <c r="C54" s="85" t="s">
        <v>173</v>
      </c>
      <c r="D54" s="85"/>
      <c r="E54" s="85"/>
      <c r="F54" s="86"/>
      <c r="G54" s="86"/>
    </row>
    <row r="56" spans="1:12" ht="18" x14ac:dyDescent="0.35">
      <c r="B56" s="76" t="s">
        <v>168</v>
      </c>
      <c r="C56" s="76"/>
      <c r="D56" s="76"/>
      <c r="E56" s="76"/>
      <c r="F56" s="76"/>
      <c r="G56" s="76"/>
      <c r="H56" s="76"/>
      <c r="I56" s="76"/>
    </row>
    <row r="57" spans="1:12" ht="18" x14ac:dyDescent="0.35">
      <c r="B57" s="77" t="s">
        <v>169</v>
      </c>
      <c r="C57" s="77"/>
      <c r="D57" s="77"/>
      <c r="E57" s="77"/>
      <c r="F57" s="77"/>
      <c r="G57" s="77"/>
      <c r="H57" s="76"/>
      <c r="I57" s="76"/>
    </row>
    <row r="58" spans="1:12" ht="18" x14ac:dyDescent="0.35">
      <c r="B58" s="81" t="s">
        <v>170</v>
      </c>
      <c r="C58" s="81"/>
      <c r="D58" s="81"/>
      <c r="E58" s="81"/>
      <c r="F58" s="81"/>
      <c r="G58" s="81"/>
      <c r="H58" s="81"/>
      <c r="I58" s="81"/>
    </row>
    <row r="59" spans="1:12" ht="18" x14ac:dyDescent="0.35">
      <c r="B59" s="82" t="s">
        <v>171</v>
      </c>
      <c r="C59" s="82"/>
      <c r="D59" s="82"/>
      <c r="E59" s="82"/>
      <c r="F59" s="82"/>
      <c r="G59" s="82"/>
      <c r="H59" s="82"/>
      <c r="I59" s="82"/>
    </row>
    <row r="60" spans="1:12" ht="18" x14ac:dyDescent="0.35">
      <c r="B60" s="83" t="s">
        <v>172</v>
      </c>
      <c r="C60" s="83"/>
      <c r="D60" s="83"/>
      <c r="E60" s="83"/>
      <c r="F60" s="83"/>
      <c r="G60" s="83"/>
      <c r="H60" s="83"/>
      <c r="I60" s="83"/>
      <c r="J60" s="84"/>
    </row>
    <row r="61" spans="1:12" ht="18" x14ac:dyDescent="0.35">
      <c r="B61" s="42"/>
      <c r="C61" s="42"/>
      <c r="D61" s="42"/>
      <c r="E61" s="42"/>
      <c r="F61" s="42"/>
      <c r="G61" s="42"/>
      <c r="H61" s="42"/>
      <c r="I61" s="42"/>
    </row>
  </sheetData>
  <mergeCells count="9">
    <mergeCell ref="A1:N2"/>
    <mergeCell ref="A4:C4"/>
    <mergeCell ref="D4:F4"/>
    <mergeCell ref="G4:I4"/>
    <mergeCell ref="J4:L4"/>
    <mergeCell ref="A5:C6"/>
    <mergeCell ref="D5:F6"/>
    <mergeCell ref="G5:I6"/>
    <mergeCell ref="J5:L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Dataset</vt:lpstr>
      <vt:lpstr>Conditional Statement</vt:lpstr>
      <vt:lpstr>What If Analysis</vt:lpstr>
      <vt:lpstr>Scenario Summary</vt:lpstr>
      <vt:lpstr>Linear Regression</vt:lpstr>
      <vt:lpstr>Descriptive Statistics</vt:lpstr>
      <vt:lpstr>Monthly Sales Growth</vt:lpstr>
      <vt:lpstr>Timestamp Analysis</vt:lpstr>
      <vt:lpstr>High-Value Customer</vt:lpstr>
      <vt:lpstr>Pivot 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 patel</dc:creator>
  <cp:lastModifiedBy>shreypatel327@gmail.com</cp:lastModifiedBy>
  <dcterms:created xsi:type="dcterms:W3CDTF">2026-10-30T04:59:18Z</dcterms:created>
  <dcterms:modified xsi:type="dcterms:W3CDTF">2026-10-30T04:59:18Z</dcterms:modified>
</cp:coreProperties>
</file>